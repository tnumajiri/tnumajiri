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枚目" sheetId="1" state="visible" r:id="rId3"/>
    <sheet name="2枚目" sheetId="2" state="visible" r:id="rId4"/>
    <sheet name="3枚目" sheetId="3" state="visible" r:id="rId5"/>
    <sheet name="一覧" sheetId="4" state="visible" r:id="rId6"/>
  </sheets>
  <definedNames>
    <definedName function="false" hidden="false" localSheetId="0" name="_xlnm.Print_Area" vbProcedure="false">1枚目!$A$1:$H$24</definedName>
    <definedName function="false" hidden="false" localSheetId="1" name="_xlnm.Print_Area" vbProcedure="false">2枚目!$A$1:$H$24</definedName>
    <definedName function="false" hidden="false" localSheetId="2" name="_xlnm.Print_Area" vbProcedure="false">3枚目!$A$1:$H$24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<sst xmlns="http://schemas.openxmlformats.org/spreadsheetml/2006/main" count="196" uniqueCount="61">
  <si>
    <r>
      <rPr>
        <sz val="10"/>
        <rFont val="WenQuanYi Zen Hei"/>
        <family val="2"/>
      </rPr>
      <t xml:space="preserve">提出期限：令和</t>
    </r>
    <r>
      <rPr>
        <sz val="10"/>
        <rFont val="ＭＳ 明朝"/>
        <family val="0"/>
        <charset val="1"/>
      </rPr>
      <t xml:space="preserve">8</t>
    </r>
    <r>
      <rPr>
        <sz val="10"/>
        <rFont val="WenQuanYi Zen Hei"/>
        <family val="2"/>
      </rPr>
      <t xml:space="preserve">年</t>
    </r>
    <r>
      <rPr>
        <sz val="10"/>
        <rFont val="ＭＳ 明朝"/>
        <family val="0"/>
        <charset val="1"/>
      </rPr>
      <t xml:space="preserve">10</t>
    </r>
    <r>
      <rPr>
        <sz val="10"/>
        <rFont val="WenQuanYi Zen Hei"/>
        <family val="2"/>
      </rPr>
      <t xml:space="preserve">月</t>
    </r>
    <r>
      <rPr>
        <sz val="10"/>
        <rFont val="ＭＳ 明朝"/>
        <family val="0"/>
        <charset val="1"/>
      </rPr>
      <t xml:space="preserve">20</t>
    </r>
    <r>
      <rPr>
        <sz val="10"/>
        <rFont val="WenQuanYi Zen Hei"/>
        <family val="2"/>
      </rPr>
      <t xml:space="preserve">日</t>
    </r>
  </si>
  <si>
    <r>
      <rPr>
        <b val="true"/>
        <sz val="12"/>
        <rFont val="WenQuanYi Zen Hei"/>
        <family val="2"/>
      </rPr>
      <t xml:space="preserve">令和８年台風第</t>
    </r>
    <r>
      <rPr>
        <b val="true"/>
        <sz val="12"/>
        <rFont val="ＭＳ 明朝"/>
        <family val="0"/>
        <charset val="1"/>
      </rPr>
      <t xml:space="preserve">25</t>
    </r>
    <r>
      <rPr>
        <b val="true"/>
        <sz val="12"/>
        <rFont val="WenQuanYi Zen Hei"/>
        <family val="2"/>
      </rPr>
      <t xml:space="preserve">号に係る茨城県農林漁業災害対策特別措置条例に基づく調査票</t>
    </r>
  </si>
  <si>
    <t xml:space="preserve">１　氏名、連絡先</t>
  </si>
  <si>
    <t xml:space="preserve">氏名</t>
  </si>
  <si>
    <t xml:space="preserve">有限会社さしま農場</t>
  </si>
  <si>
    <t xml:space="preserve">連絡先</t>
  </si>
  <si>
    <r>
      <rPr>
        <sz val="10.5"/>
        <rFont val="WenQuanYi Zen Hei"/>
        <family val="2"/>
      </rPr>
      <t xml:space="preserve">（住所）〒</t>
    </r>
    <r>
      <rPr>
        <sz val="10.5"/>
        <rFont val="ＭＳ 明朝"/>
        <family val="0"/>
        <charset val="1"/>
      </rPr>
      <t xml:space="preserve">306-0505</t>
    </r>
    <r>
      <rPr>
        <sz val="10.5"/>
        <rFont val="WenQuanYi Zen Hei"/>
        <family val="2"/>
      </rPr>
      <t xml:space="preserve">　茨城県坂東市菅谷</t>
    </r>
    <r>
      <rPr>
        <sz val="10.5"/>
        <rFont val="ＭＳ 明朝"/>
        <family val="0"/>
        <charset val="1"/>
      </rPr>
      <t xml:space="preserve">1388-1</t>
    </r>
  </si>
  <si>
    <r>
      <rPr>
        <sz val="10.5"/>
        <rFont val="WenQuanYi Zen Hei"/>
        <family val="2"/>
      </rPr>
      <t xml:space="preserve">（</t>
    </r>
    <r>
      <rPr>
        <sz val="10.5"/>
        <rFont val="ＭＳ 明朝"/>
        <family val="0"/>
        <charset val="1"/>
      </rPr>
      <t xml:space="preserve">TEL</t>
    </r>
    <r>
      <rPr>
        <sz val="10.5"/>
        <rFont val="WenQuanYi Zen Hei"/>
        <family val="2"/>
      </rPr>
      <t xml:space="preserve">）</t>
    </r>
    <r>
      <rPr>
        <sz val="10.5"/>
        <rFont val="ＭＳ 明朝"/>
        <family val="0"/>
        <charset val="1"/>
      </rPr>
      <t xml:space="preserve">0280-88-0943</t>
    </r>
  </si>
  <si>
    <r>
      <rPr>
        <sz val="10.5"/>
        <rFont val="WenQuanYi Zen Hei"/>
        <family val="2"/>
      </rPr>
      <t xml:space="preserve">（</t>
    </r>
    <r>
      <rPr>
        <sz val="10.5"/>
        <rFont val="ＭＳ 明朝"/>
        <family val="0"/>
        <charset val="1"/>
      </rPr>
      <t xml:space="preserve">FAX</t>
    </r>
    <r>
      <rPr>
        <sz val="10.5"/>
        <rFont val="WenQuanYi Zen Hei"/>
        <family val="2"/>
      </rPr>
      <t xml:space="preserve">）</t>
    </r>
    <r>
      <rPr>
        <sz val="10.5"/>
        <rFont val="ＭＳ 明朝"/>
        <family val="0"/>
        <charset val="1"/>
      </rPr>
      <t xml:space="preserve">0280-88-0852</t>
    </r>
  </si>
  <si>
    <r>
      <rPr>
        <sz val="10.5"/>
        <rFont val="WenQuanYi Zen Hei"/>
        <family val="2"/>
      </rPr>
      <t xml:space="preserve">（</t>
    </r>
    <r>
      <rPr>
        <sz val="10.5"/>
        <rFont val="ＭＳ 明朝"/>
        <family val="0"/>
        <charset val="1"/>
      </rPr>
      <t xml:space="preserve">E-mail</t>
    </r>
    <r>
      <rPr>
        <sz val="10.5"/>
        <rFont val="WenQuanYi Zen Hei"/>
        <family val="2"/>
      </rPr>
      <t xml:space="preserve">）</t>
    </r>
    <r>
      <rPr>
        <sz val="10.5"/>
        <rFont val="ＭＳ 明朝"/>
        <family val="0"/>
        <charset val="1"/>
      </rPr>
      <t xml:space="preserve">t.numajiri@gmail.com</t>
    </r>
  </si>
  <si>
    <t xml:space="preserve">２　被災農地、面積、対応等</t>
  </si>
  <si>
    <t xml:space="preserve">圃場地番</t>
  </si>
  <si>
    <r>
      <rPr>
        <sz val="10.5"/>
        <rFont val="WenQuanYi Zen Hei"/>
        <family val="2"/>
      </rPr>
      <t xml:space="preserve">面積（</t>
    </r>
    <r>
      <rPr>
        <sz val="10.5"/>
        <rFont val="ＭＳ 明朝"/>
        <family val="0"/>
        <charset val="1"/>
      </rPr>
      <t xml:space="preserve">a</t>
    </r>
    <r>
      <rPr>
        <sz val="10.5"/>
        <rFont val="WenQuanYi Zen Hei"/>
        <family val="2"/>
      </rPr>
      <t xml:space="preserve">）</t>
    </r>
  </si>
  <si>
    <r>
      <rPr>
        <sz val="10.5"/>
        <rFont val="WenQuanYi Zen Hei"/>
        <family val="2"/>
      </rPr>
      <t xml:space="preserve">うち被害
面積（</t>
    </r>
    <r>
      <rPr>
        <sz val="10.5"/>
        <rFont val="ＭＳ 明朝"/>
        <family val="0"/>
        <charset val="1"/>
      </rPr>
      <t xml:space="preserve">a</t>
    </r>
    <r>
      <rPr>
        <sz val="10.5"/>
        <rFont val="WenQuanYi Zen Hei"/>
        <family val="2"/>
      </rPr>
      <t xml:space="preserve">）</t>
    </r>
  </si>
  <si>
    <t xml:space="preserve">被災割合</t>
  </si>
  <si>
    <t xml:space="preserve">作物名</t>
  </si>
  <si>
    <t xml:space="preserve">対応内容</t>
  </si>
  <si>
    <t xml:space="preserve">対応経費</t>
  </si>
  <si>
    <r>
      <rPr>
        <sz val="10.5"/>
        <rFont val="WenQuanYi Zen Hei"/>
        <family val="2"/>
      </rPr>
      <t xml:space="preserve">境町山崎前新田 </t>
    </r>
    <r>
      <rPr>
        <sz val="10.5"/>
        <rFont val="ＭＳ 明朝"/>
        <family val="0"/>
        <charset val="1"/>
      </rPr>
      <t xml:space="preserve">1996</t>
    </r>
  </si>
  <si>
    <t xml:space="preserve">キャベツ</t>
  </si>
  <si>
    <t xml:space="preserve">①樹草勢回復肥料購入</t>
  </si>
  <si>
    <t xml:space="preserve">円</t>
  </si>
  <si>
    <r>
      <rPr>
        <sz val="10.5"/>
        <rFont val="WenQuanYi Zen Hei"/>
        <family val="2"/>
      </rPr>
      <t xml:space="preserve">境町内門下新田 福原 </t>
    </r>
    <r>
      <rPr>
        <sz val="10.5"/>
        <rFont val="ＭＳ 明朝"/>
        <family val="0"/>
        <charset val="1"/>
      </rPr>
      <t xml:space="preserve">883-1</t>
    </r>
  </si>
  <si>
    <r>
      <rPr>
        <sz val="10.5"/>
        <rFont val="WenQuanYi Zen Hei"/>
        <family val="2"/>
      </rPr>
      <t xml:space="preserve">〃 </t>
    </r>
    <r>
      <rPr>
        <sz val="10.5"/>
        <rFont val="ＭＳ 明朝"/>
        <family val="0"/>
        <charset val="1"/>
      </rPr>
      <t xml:space="preserve">882</t>
    </r>
  </si>
  <si>
    <r>
      <rPr>
        <sz val="10.5"/>
        <rFont val="WenQuanYi Zen Hei"/>
        <family val="2"/>
      </rPr>
      <t xml:space="preserve">境町内門下新田 </t>
    </r>
    <r>
      <rPr>
        <sz val="10.5"/>
        <rFont val="ＭＳ 明朝"/>
        <family val="0"/>
        <charset val="1"/>
      </rPr>
      <t xml:space="preserve">898-1</t>
    </r>
  </si>
  <si>
    <r>
      <rPr>
        <sz val="10.5"/>
        <rFont val="WenQuanYi Zen Hei"/>
        <family val="2"/>
      </rPr>
      <t xml:space="preserve">境町香取山東 </t>
    </r>
    <r>
      <rPr>
        <sz val="10.5"/>
        <rFont val="ＭＳ 明朝"/>
        <family val="0"/>
        <charset val="1"/>
      </rPr>
      <t xml:space="preserve">1008-1</t>
    </r>
  </si>
  <si>
    <r>
      <rPr>
        <sz val="10.5"/>
        <rFont val="WenQuanYi Zen Hei"/>
        <family val="2"/>
      </rPr>
      <t xml:space="preserve">〃 </t>
    </r>
    <r>
      <rPr>
        <sz val="10.5"/>
        <rFont val="ＭＳ 明朝"/>
        <family val="0"/>
        <charset val="1"/>
      </rPr>
      <t xml:space="preserve">992-1</t>
    </r>
  </si>
  <si>
    <r>
      <rPr>
        <sz val="10.5"/>
        <rFont val="WenQuanYi Zen Hei"/>
        <family val="2"/>
      </rPr>
      <t xml:space="preserve">境町大歩宮東 </t>
    </r>
    <r>
      <rPr>
        <sz val="10.5"/>
        <rFont val="ＭＳ 明朝"/>
        <family val="0"/>
        <charset val="1"/>
      </rPr>
      <t xml:space="preserve">1861</t>
    </r>
  </si>
  <si>
    <r>
      <rPr>
        <sz val="10.5"/>
        <rFont val="WenQuanYi Zen Hei"/>
        <family val="2"/>
      </rPr>
      <t xml:space="preserve">境町大歩新橋 </t>
    </r>
    <r>
      <rPr>
        <sz val="10.5"/>
        <rFont val="ＭＳ 明朝"/>
        <family val="0"/>
        <charset val="1"/>
      </rPr>
      <t xml:space="preserve">1925-1, 2301</t>
    </r>
  </si>
  <si>
    <r>
      <rPr>
        <sz val="10.5"/>
        <rFont val="WenQuanYi Zen Hei"/>
        <family val="2"/>
      </rPr>
      <t xml:space="preserve">境町大歩新橋 </t>
    </r>
    <r>
      <rPr>
        <sz val="10.5"/>
        <rFont val="ＭＳ 明朝"/>
        <family val="0"/>
        <charset val="1"/>
      </rPr>
      <t xml:space="preserve">1924-1</t>
    </r>
  </si>
  <si>
    <r>
      <rPr>
        <sz val="10.5"/>
        <rFont val="WenQuanYi Zen Hei"/>
        <family val="2"/>
      </rPr>
      <t xml:space="preserve">〃 </t>
    </r>
    <r>
      <rPr>
        <sz val="10.5"/>
        <rFont val="ＭＳ 明朝"/>
        <family val="0"/>
        <charset val="1"/>
      </rPr>
      <t xml:space="preserve">1926-1</t>
    </r>
  </si>
  <si>
    <r>
      <rPr>
        <sz val="10.5"/>
        <rFont val="WenQuanYi Zen Hei"/>
        <family val="2"/>
      </rPr>
      <t xml:space="preserve">境町大歩 </t>
    </r>
    <r>
      <rPr>
        <sz val="10.5"/>
        <rFont val="ＭＳ 明朝"/>
        <family val="0"/>
        <charset val="1"/>
      </rPr>
      <t xml:space="preserve">1932-1, 1836-1</t>
    </r>
  </si>
  <si>
    <r>
      <rPr>
        <sz val="10.5"/>
        <rFont val="WenQuanYi Zen Hei"/>
        <family val="2"/>
      </rPr>
      <t xml:space="preserve">境町大歩 重田台 </t>
    </r>
    <r>
      <rPr>
        <sz val="10.5"/>
        <rFont val="ＭＳ 明朝"/>
        <family val="0"/>
        <charset val="1"/>
      </rPr>
      <t xml:space="preserve">1991-1</t>
    </r>
  </si>
  <si>
    <r>
      <rPr>
        <sz val="10.5"/>
        <rFont val="WenQuanYi Zen Hei"/>
        <family val="2"/>
      </rPr>
      <t xml:space="preserve">境町大歩 重田台 </t>
    </r>
    <r>
      <rPr>
        <sz val="10.5"/>
        <rFont val="ＭＳ 明朝"/>
        <family val="0"/>
        <charset val="1"/>
      </rPr>
      <t xml:space="preserve">2006-1</t>
    </r>
  </si>
  <si>
    <r>
      <rPr>
        <sz val="10.5"/>
        <rFont val="WenQuanYi Zen Hei"/>
        <family val="2"/>
      </rPr>
      <t xml:space="preserve">〃 </t>
    </r>
    <r>
      <rPr>
        <sz val="10.5"/>
        <rFont val="ＭＳ 明朝"/>
        <family val="0"/>
        <charset val="1"/>
      </rPr>
      <t xml:space="preserve">2006-7</t>
    </r>
  </si>
  <si>
    <r>
      <rPr>
        <sz val="10.5"/>
        <rFont val="WenQuanYi Zen Hei"/>
        <family val="2"/>
      </rPr>
      <t xml:space="preserve">〃 </t>
    </r>
    <r>
      <rPr>
        <sz val="10.5"/>
        <rFont val="ＭＳ 明朝"/>
        <family val="0"/>
        <charset val="1"/>
      </rPr>
      <t xml:space="preserve">2008-1</t>
    </r>
  </si>
  <si>
    <r>
      <rPr>
        <sz val="10.5"/>
        <rFont val="WenQuanYi Zen Hei"/>
        <family val="2"/>
      </rPr>
      <t xml:space="preserve">〃 </t>
    </r>
    <r>
      <rPr>
        <sz val="10.5"/>
        <rFont val="ＭＳ 明朝"/>
        <family val="0"/>
        <charset val="1"/>
      </rPr>
      <t xml:space="preserve">2008-2</t>
    </r>
  </si>
  <si>
    <r>
      <rPr>
        <sz val="10.5"/>
        <rFont val="WenQuanYi Zen Hei"/>
        <family val="2"/>
      </rPr>
      <t xml:space="preserve">〃 </t>
    </r>
    <r>
      <rPr>
        <sz val="10.5"/>
        <rFont val="ＭＳ 明朝"/>
        <family val="0"/>
        <charset val="1"/>
      </rPr>
      <t xml:space="preserve">2004-1</t>
    </r>
  </si>
  <si>
    <r>
      <rPr>
        <sz val="10.5"/>
        <rFont val="WenQuanYi Zen Hei"/>
        <family val="2"/>
      </rPr>
      <t xml:space="preserve">〃 </t>
    </r>
    <r>
      <rPr>
        <sz val="10.5"/>
        <rFont val="ＭＳ 明朝"/>
        <family val="0"/>
        <charset val="1"/>
      </rPr>
      <t xml:space="preserve">2003-1</t>
    </r>
  </si>
  <si>
    <r>
      <rPr>
        <sz val="10.5"/>
        <rFont val="WenQuanYi Zen Hei"/>
        <family val="2"/>
      </rPr>
      <t xml:space="preserve">〃 </t>
    </r>
    <r>
      <rPr>
        <sz val="10.5"/>
        <rFont val="ＭＳ 明朝"/>
        <family val="0"/>
        <charset val="1"/>
      </rPr>
      <t xml:space="preserve">2002-1</t>
    </r>
  </si>
  <si>
    <r>
      <rPr>
        <sz val="10.5"/>
        <rFont val="WenQuanYi Zen Hei"/>
        <family val="2"/>
      </rPr>
      <t xml:space="preserve">〃 </t>
    </r>
    <r>
      <rPr>
        <sz val="10.5"/>
        <rFont val="ＭＳ 明朝"/>
        <family val="0"/>
        <charset val="1"/>
      </rPr>
      <t xml:space="preserve">1994</t>
    </r>
  </si>
  <si>
    <r>
      <rPr>
        <sz val="10.5"/>
        <rFont val="WenQuanYi Zen Hei"/>
        <family val="2"/>
      </rPr>
      <t xml:space="preserve">〃 </t>
    </r>
    <r>
      <rPr>
        <sz val="10.5"/>
        <rFont val="ＭＳ 明朝"/>
        <family val="0"/>
        <charset val="1"/>
      </rPr>
      <t xml:space="preserve">1989-1</t>
    </r>
  </si>
  <si>
    <r>
      <rPr>
        <sz val="10.5"/>
        <rFont val="WenQuanYi Zen Hei"/>
        <family val="2"/>
      </rPr>
      <t xml:space="preserve">〃 </t>
    </r>
    <r>
      <rPr>
        <sz val="10.5"/>
        <rFont val="ＭＳ 明朝"/>
        <family val="0"/>
        <charset val="1"/>
      </rPr>
      <t xml:space="preserve">1988</t>
    </r>
  </si>
  <si>
    <r>
      <rPr>
        <sz val="10.5"/>
        <rFont val="WenQuanYi Zen Hei"/>
        <family val="2"/>
      </rPr>
      <t xml:space="preserve">〃 </t>
    </r>
    <r>
      <rPr>
        <sz val="10.5"/>
        <rFont val="ＭＳ 明朝"/>
        <family val="0"/>
        <charset val="1"/>
      </rPr>
      <t xml:space="preserve">1989</t>
    </r>
  </si>
  <si>
    <r>
      <rPr>
        <sz val="10.5"/>
        <rFont val="WenQuanYi Zen Hei"/>
        <family val="2"/>
      </rPr>
      <t xml:space="preserve">〃 </t>
    </r>
    <r>
      <rPr>
        <sz val="10.5"/>
        <rFont val="ＭＳ 明朝"/>
        <family val="0"/>
        <charset val="1"/>
      </rPr>
      <t xml:space="preserve">1986</t>
    </r>
  </si>
  <si>
    <r>
      <rPr>
        <sz val="10.5"/>
        <rFont val="WenQuanYi Zen Hei"/>
        <family val="2"/>
      </rPr>
      <t xml:space="preserve">境町大歩 高水道南 </t>
    </r>
    <r>
      <rPr>
        <sz val="10.5"/>
        <rFont val="ＭＳ 明朝"/>
        <family val="0"/>
        <charset val="1"/>
      </rPr>
      <t xml:space="preserve">437-2</t>
    </r>
  </si>
  <si>
    <r>
      <rPr>
        <sz val="10.5"/>
        <rFont val="WenQuanYi Zen Hei"/>
        <family val="2"/>
      </rPr>
      <t xml:space="preserve">〃 </t>
    </r>
    <r>
      <rPr>
        <sz val="10.5"/>
        <rFont val="ＭＳ 明朝"/>
        <family val="0"/>
        <charset val="1"/>
      </rPr>
      <t xml:space="preserve">437-3</t>
    </r>
  </si>
  <si>
    <r>
      <rPr>
        <sz val="10.5"/>
        <rFont val="WenQuanYi Zen Hei"/>
        <family val="2"/>
      </rPr>
      <t xml:space="preserve">〃 </t>
    </r>
    <r>
      <rPr>
        <sz val="10.5"/>
        <rFont val="ＭＳ 明朝"/>
        <family val="0"/>
        <charset val="1"/>
      </rPr>
      <t xml:space="preserve">432-1</t>
    </r>
  </si>
  <si>
    <t xml:space="preserve">白菜</t>
  </si>
  <si>
    <r>
      <rPr>
        <sz val="10.5"/>
        <rFont val="WenQuanYi Zen Hei"/>
        <family val="2"/>
      </rPr>
      <t xml:space="preserve">〃 </t>
    </r>
    <r>
      <rPr>
        <sz val="10.5"/>
        <rFont val="ＭＳ 明朝"/>
        <family val="0"/>
        <charset val="1"/>
      </rPr>
      <t xml:space="preserve">432-2</t>
    </r>
  </si>
  <si>
    <r>
      <rPr>
        <sz val="10.5"/>
        <rFont val="WenQuanYi Zen Hei"/>
        <family val="2"/>
      </rPr>
      <t xml:space="preserve">〃 </t>
    </r>
    <r>
      <rPr>
        <sz val="10.5"/>
        <rFont val="ＭＳ 明朝"/>
        <family val="0"/>
        <charset val="1"/>
      </rPr>
      <t xml:space="preserve">432-3</t>
    </r>
  </si>
  <si>
    <r>
      <rPr>
        <sz val="10.5"/>
        <rFont val="WenQuanYi Zen Hei"/>
        <family val="2"/>
      </rPr>
      <t xml:space="preserve">〃 </t>
    </r>
    <r>
      <rPr>
        <sz val="10.5"/>
        <rFont val="ＭＳ 明朝"/>
        <family val="0"/>
        <charset val="1"/>
      </rPr>
      <t xml:space="preserve">431</t>
    </r>
  </si>
  <si>
    <r>
      <rPr>
        <sz val="10.5"/>
        <rFont val="WenQuanYi Zen Hei"/>
        <family val="2"/>
      </rPr>
      <t xml:space="preserve">〃 </t>
    </r>
    <r>
      <rPr>
        <sz val="10.5"/>
        <rFont val="ＭＳ 明朝"/>
        <family val="0"/>
        <charset val="1"/>
      </rPr>
      <t xml:space="preserve">427-1</t>
    </r>
  </si>
  <si>
    <r>
      <rPr>
        <sz val="10.5"/>
        <rFont val="WenQuanYi Zen Hei"/>
        <family val="2"/>
      </rPr>
      <t xml:space="preserve">境町大歩新橋 </t>
    </r>
    <r>
      <rPr>
        <sz val="10.5"/>
        <rFont val="ＭＳ 明朝"/>
        <family val="0"/>
        <charset val="1"/>
      </rPr>
      <t xml:space="preserve">1911-1</t>
    </r>
  </si>
  <si>
    <t xml:space="preserve">枚目</t>
  </si>
  <si>
    <r>
      <rPr>
        <b val="true"/>
        <sz val="10.5"/>
        <rFont val="WenQuanYi Zen Hei"/>
        <family val="2"/>
      </rPr>
      <t xml:space="preserve">面積（</t>
    </r>
    <r>
      <rPr>
        <b val="true"/>
        <sz val="10.5"/>
        <rFont val="ＭＳ 明朝"/>
        <family val="0"/>
        <charset val="1"/>
      </rPr>
      <t xml:space="preserve">a</t>
    </r>
    <r>
      <rPr>
        <b val="true"/>
        <sz val="10.5"/>
        <rFont val="WenQuanYi Zen Hei"/>
        <family val="2"/>
      </rPr>
      <t xml:space="preserve">）</t>
    </r>
  </si>
  <si>
    <r>
      <rPr>
        <b val="true"/>
        <sz val="10.5"/>
        <rFont val="WenQuanYi Zen Hei"/>
        <family val="2"/>
      </rPr>
      <t xml:space="preserve">うち被害面積（</t>
    </r>
    <r>
      <rPr>
        <b val="true"/>
        <sz val="10.5"/>
        <rFont val="ＭＳ 明朝"/>
        <family val="0"/>
        <charset val="1"/>
      </rPr>
      <t xml:space="preserve">a</t>
    </r>
    <r>
      <rPr>
        <b val="true"/>
        <sz val="10.5"/>
        <rFont val="WenQuanYi Zen Hei"/>
        <family val="2"/>
      </rPr>
      <t xml:space="preserve">）</t>
    </r>
  </si>
  <si>
    <r>
      <rPr>
        <b val="true"/>
        <sz val="10.5"/>
        <rFont val="WenQuanYi Zen Hei"/>
        <family val="2"/>
      </rPr>
      <t xml:space="preserve">被災割合（</t>
    </r>
    <r>
      <rPr>
        <b val="true"/>
        <sz val="10.5"/>
        <rFont val="ＭＳ 明朝"/>
        <family val="0"/>
        <charset val="1"/>
      </rPr>
      <t xml:space="preserve">%</t>
    </r>
    <r>
      <rPr>
        <b val="true"/>
        <sz val="10.5"/>
        <rFont val="WenQuanYi Zen Hei"/>
        <family val="2"/>
      </rPr>
      <t xml:space="preserve">）</t>
    </r>
  </si>
  <si>
    <t xml:space="preserve">対応経費（円）</t>
  </si>
  <si>
    <t xml:space="preserve">合計</t>
  </si>
  <si>
    <r>
      <rPr>
        <sz val="9"/>
        <rFont val="WenQuanYi Zen Hei"/>
        <family val="2"/>
      </rPr>
      <t xml:space="preserve">※「うち被害面積」は 面積</t>
    </r>
    <r>
      <rPr>
        <sz val="9"/>
        <rFont val="ＭＳ 明朝"/>
        <family val="0"/>
        <charset val="1"/>
      </rPr>
      <t xml:space="preserve">×</t>
    </r>
    <r>
      <rPr>
        <sz val="9"/>
        <rFont val="WenQuanYi Zen Hei"/>
        <family val="2"/>
      </rPr>
      <t xml:space="preserve">被災割合 で自動計算（手書き票では空欄）。「対応経費」は手書きの数字をそのまま転記。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</si>
</sst>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0\%"/>
    <numFmt numFmtId="168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WenQuanYi Zen Hei"/>
      <family val="2"/>
    </font>
    <font>
      <sz val="10"/>
      <name val="ＭＳ 明朝"/>
      <family val="0"/>
      <charset val="1"/>
    </font>
    <font>
      <b val="true"/>
      <sz val="12"/>
      <name val="WenQuanYi Zen Hei"/>
      <family val="2"/>
    </font>
    <font>
      <b val="true"/>
      <sz val="12"/>
      <name val="ＭＳ 明朝"/>
      <family val="0"/>
      <charset val="1"/>
    </font>
    <font>
      <sz val="10.5"/>
      <name val="WenQuanYi Zen Hei"/>
      <family val="2"/>
    </font>
    <font>
      <sz val="10.5"/>
      <name val="ＭＳ 明朝"/>
      <family val="0"/>
      <charset val="1"/>
    </font>
    <font>
      <b val="true"/>
      <sz val="10.5"/>
      <name val="WenQuanYi Zen Hei"/>
      <family val="2"/>
    </font>
    <font>
      <b val="true"/>
      <sz val="10.5"/>
      <name val="ＭＳ 明朝"/>
      <family val="0"/>
      <charset val="1"/>
    </font>
    <font>
      <sz val="9"/>
      <name val="WenQuanYi Zen Hei"/>
      <family val="2"/>
    </font>
    <font>
      <sz val="9"/>
      <name val="ＭＳ 明朝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24"/>
    <col collapsed="false" customWidth="true" hidden="false" outlineLevel="0" max="7" min="7" style="0" width="11"/>
    <col collapsed="false" customWidth="true" hidden="false" outlineLevel="0" max="8" min="8" style="0" width="4"/>
  </cols>
  <sheetData>
    <row r="1" customFormat="false" ht="14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</row>
    <row r="5" customFormat="false" ht="19.5" hidden="false" customHeight="true" outlineLevel="0" collapsed="false">
      <c r="A5" s="4" t="s">
        <v>3</v>
      </c>
      <c r="B5" s="5" t="s">
        <v>4</v>
      </c>
      <c r="C5" s="5"/>
      <c r="D5" s="5"/>
      <c r="E5" s="5"/>
      <c r="F5" s="5"/>
      <c r="G5" s="5"/>
      <c r="H5" s="5"/>
    </row>
    <row r="6" customFormat="false" ht="19.5" hidden="false" customHeight="true" outlineLevel="0" collapsed="false">
      <c r="A6" s="4" t="s">
        <v>5</v>
      </c>
      <c r="B6" s="5" t="s">
        <v>6</v>
      </c>
      <c r="C6" s="5"/>
      <c r="D6" s="5"/>
      <c r="E6" s="5"/>
      <c r="F6" s="5"/>
      <c r="G6" s="5"/>
      <c r="H6" s="5"/>
    </row>
    <row r="7" customFormat="false" ht="19.5" hidden="false" customHeight="true" outlineLevel="0" collapsed="false">
      <c r="A7" s="4"/>
      <c r="B7" s="5" t="s">
        <v>7</v>
      </c>
      <c r="C7" s="5"/>
      <c r="D7" s="5"/>
      <c r="E7" s="5" t="s">
        <v>8</v>
      </c>
      <c r="F7" s="5"/>
      <c r="G7" s="5"/>
      <c r="H7" s="5"/>
    </row>
    <row r="8" customFormat="false" ht="19.5" hidden="false" customHeight="true" outlineLevel="0" collapsed="false">
      <c r="A8" s="4"/>
      <c r="B8" s="5" t="s">
        <v>9</v>
      </c>
      <c r="C8" s="5"/>
      <c r="D8" s="5"/>
      <c r="E8" s="5"/>
      <c r="F8" s="5"/>
      <c r="G8" s="5"/>
      <c r="H8" s="5"/>
    </row>
    <row r="9" customFormat="false" ht="7.5" hidden="false" customHeight="true" outlineLevel="0" collapsed="false">
      <c r="B9" s="6"/>
      <c r="C9" s="7"/>
      <c r="D9" s="7"/>
      <c r="E9" s="7"/>
      <c r="F9" s="7"/>
      <c r="G9" s="7"/>
      <c r="H9" s="7"/>
    </row>
    <row r="11" customFormat="false" ht="15" hidden="false" customHeight="false" outlineLevel="0" collapsed="false">
      <c r="A11" s="3" t="s">
        <v>10</v>
      </c>
    </row>
    <row r="12" customFormat="false" ht="31.5" hidden="false" customHeight="true" outlineLevel="0" collapsed="false">
      <c r="A12" s="8" t="s">
        <v>11</v>
      </c>
      <c r="B12" s="8" t="s">
        <v>12</v>
      </c>
      <c r="C12" s="8" t="s">
        <v>13</v>
      </c>
      <c r="D12" s="8" t="s">
        <v>14</v>
      </c>
      <c r="E12" s="8" t="s">
        <v>15</v>
      </c>
      <c r="F12" s="8" t="s">
        <v>16</v>
      </c>
      <c r="G12" s="8" t="s">
        <v>17</v>
      </c>
      <c r="H12" s="8"/>
    </row>
    <row r="13" customFormat="false" ht="42" hidden="false" customHeight="true" outlineLevel="0" collapsed="false">
      <c r="A13" s="9" t="s">
        <v>18</v>
      </c>
      <c r="B13" s="10" t="n">
        <v>45</v>
      </c>
      <c r="C13" s="11" t="n">
        <f aca="false">ROUND(B13*D13/100,1)</f>
        <v>22.5</v>
      </c>
      <c r="D13" s="12" t="n">
        <v>50</v>
      </c>
      <c r="E13" s="4" t="s">
        <v>19</v>
      </c>
      <c r="F13" s="9" t="s">
        <v>20</v>
      </c>
      <c r="G13" s="13" t="n">
        <v>9</v>
      </c>
      <c r="H13" s="4" t="s">
        <v>21</v>
      </c>
    </row>
    <row r="14" customFormat="false" ht="42" hidden="false" customHeight="true" outlineLevel="0" collapsed="false">
      <c r="A14" s="9" t="s">
        <v>22</v>
      </c>
      <c r="B14" s="10" t="n">
        <v>8</v>
      </c>
      <c r="C14" s="11" t="n">
        <f aca="false">ROUND(B14*D14/100,1)</f>
        <v>5.6</v>
      </c>
      <c r="D14" s="12" t="n">
        <v>70</v>
      </c>
      <c r="E14" s="4" t="s">
        <v>19</v>
      </c>
      <c r="F14" s="9" t="s">
        <v>20</v>
      </c>
      <c r="G14" s="13" t="n">
        <v>2</v>
      </c>
      <c r="H14" s="4" t="s">
        <v>21</v>
      </c>
    </row>
    <row r="15" customFormat="false" ht="42" hidden="false" customHeight="true" outlineLevel="0" collapsed="false">
      <c r="A15" s="9" t="s">
        <v>23</v>
      </c>
      <c r="B15" s="10" t="n">
        <v>13</v>
      </c>
      <c r="C15" s="11" t="n">
        <f aca="false">ROUND(B15*D15/100,1)</f>
        <v>9.1</v>
      </c>
      <c r="D15" s="12" t="n">
        <v>70</v>
      </c>
      <c r="E15" s="4" t="s">
        <v>19</v>
      </c>
      <c r="F15" s="9" t="s">
        <v>20</v>
      </c>
      <c r="G15" s="13" t="n">
        <v>2</v>
      </c>
      <c r="H15" s="4" t="s">
        <v>21</v>
      </c>
    </row>
    <row r="16" customFormat="false" ht="42" hidden="false" customHeight="true" outlineLevel="0" collapsed="false">
      <c r="A16" s="9" t="s">
        <v>24</v>
      </c>
      <c r="B16" s="10" t="n">
        <v>20</v>
      </c>
      <c r="C16" s="11" t="n">
        <f aca="false">ROUND(B16*D16/100,1)</f>
        <v>4</v>
      </c>
      <c r="D16" s="12" t="n">
        <v>20</v>
      </c>
      <c r="E16" s="4" t="s">
        <v>19</v>
      </c>
      <c r="F16" s="9" t="s">
        <v>20</v>
      </c>
      <c r="G16" s="13" t="n">
        <v>4</v>
      </c>
      <c r="H16" s="4" t="s">
        <v>21</v>
      </c>
    </row>
    <row r="17" customFormat="false" ht="42" hidden="false" customHeight="true" outlineLevel="0" collapsed="false">
      <c r="A17" s="9" t="s">
        <v>25</v>
      </c>
      <c r="B17" s="10" t="n">
        <v>10</v>
      </c>
      <c r="C17" s="11" t="n">
        <f aca="false">ROUND(B17*D17/100,1)</f>
        <v>1</v>
      </c>
      <c r="D17" s="12" t="n">
        <v>10</v>
      </c>
      <c r="E17" s="4" t="s">
        <v>19</v>
      </c>
      <c r="F17" s="9" t="s">
        <v>20</v>
      </c>
      <c r="G17" s="13" t="n">
        <v>2</v>
      </c>
      <c r="H17" s="4" t="s">
        <v>21</v>
      </c>
    </row>
    <row r="18" customFormat="false" ht="42" hidden="false" customHeight="true" outlineLevel="0" collapsed="false">
      <c r="A18" s="9" t="s">
        <v>26</v>
      </c>
      <c r="B18" s="10" t="n">
        <v>33</v>
      </c>
      <c r="C18" s="11" t="n">
        <f aca="false">ROUND(B18*D18/100,1)</f>
        <v>3.3</v>
      </c>
      <c r="D18" s="12" t="n">
        <v>10</v>
      </c>
      <c r="E18" s="4" t="s">
        <v>19</v>
      </c>
      <c r="F18" s="9" t="s">
        <v>20</v>
      </c>
      <c r="G18" s="13" t="n">
        <v>6</v>
      </c>
      <c r="H18" s="4" t="s">
        <v>21</v>
      </c>
    </row>
    <row r="19" customFormat="false" ht="42" hidden="false" customHeight="true" outlineLevel="0" collapsed="false">
      <c r="A19" s="9" t="s">
        <v>27</v>
      </c>
      <c r="B19" s="10" t="n">
        <v>48</v>
      </c>
      <c r="C19" s="11" t="n">
        <f aca="false">ROUND(B19*D19/100,1)</f>
        <v>24</v>
      </c>
      <c r="D19" s="12" t="n">
        <v>50</v>
      </c>
      <c r="E19" s="4" t="s">
        <v>19</v>
      </c>
      <c r="F19" s="9" t="s">
        <v>20</v>
      </c>
      <c r="G19" s="13" t="n">
        <v>11</v>
      </c>
      <c r="H19" s="4" t="s">
        <v>21</v>
      </c>
    </row>
    <row r="20" customFormat="false" ht="42" hidden="false" customHeight="true" outlineLevel="0" collapsed="false">
      <c r="A20" s="9" t="s">
        <v>28</v>
      </c>
      <c r="B20" s="10" t="n">
        <v>30</v>
      </c>
      <c r="C20" s="11" t="n">
        <f aca="false">ROUND(B20*D20/100,1)</f>
        <v>9</v>
      </c>
      <c r="D20" s="12" t="n">
        <v>30</v>
      </c>
      <c r="E20" s="4" t="s">
        <v>19</v>
      </c>
      <c r="F20" s="9" t="s">
        <v>20</v>
      </c>
      <c r="G20" s="13" t="n">
        <v>10</v>
      </c>
      <c r="H20" s="4" t="s">
        <v>21</v>
      </c>
    </row>
    <row r="21" customFormat="false" ht="42" hidden="false" customHeight="true" outlineLevel="0" collapsed="false">
      <c r="A21" s="9" t="s">
        <v>29</v>
      </c>
      <c r="B21" s="10" t="n">
        <v>15</v>
      </c>
      <c r="C21" s="11" t="n">
        <f aca="false">ROUND(B21*D21/100,1)</f>
        <v>7.5</v>
      </c>
      <c r="D21" s="12" t="n">
        <v>50</v>
      </c>
      <c r="E21" s="4" t="s">
        <v>19</v>
      </c>
      <c r="F21" s="9" t="s">
        <v>20</v>
      </c>
      <c r="G21" s="13" t="n">
        <v>3</v>
      </c>
      <c r="H21" s="4" t="s">
        <v>21</v>
      </c>
    </row>
    <row r="22" customFormat="false" ht="42" hidden="false" customHeight="true" outlineLevel="0" collapsed="false">
      <c r="A22" s="9" t="s">
        <v>30</v>
      </c>
      <c r="B22" s="10" t="n">
        <v>11</v>
      </c>
      <c r="C22" s="11" t="n">
        <f aca="false">ROUND(B22*D22/100,1)</f>
        <v>5.5</v>
      </c>
      <c r="D22" s="12" t="n">
        <v>50</v>
      </c>
      <c r="E22" s="4" t="s">
        <v>19</v>
      </c>
      <c r="F22" s="9" t="s">
        <v>20</v>
      </c>
      <c r="G22" s="13" t="n">
        <v>2</v>
      </c>
      <c r="H22" s="4" t="s">
        <v>21</v>
      </c>
    </row>
    <row r="23" customFormat="false" ht="42" hidden="false" customHeight="true" outlineLevel="0" collapsed="false">
      <c r="A23" s="9" t="s">
        <v>31</v>
      </c>
      <c r="B23" s="10" t="n">
        <v>24</v>
      </c>
      <c r="C23" s="11" t="n">
        <f aca="false">ROUND(B23*D23/100,1)</f>
        <v>12</v>
      </c>
      <c r="D23" s="12" t="n">
        <v>50</v>
      </c>
      <c r="E23" s="4" t="s">
        <v>19</v>
      </c>
      <c r="F23" s="9" t="s">
        <v>20</v>
      </c>
      <c r="G23" s="13" t="n">
        <v>5</v>
      </c>
      <c r="H23" s="4" t="s">
        <v>21</v>
      </c>
    </row>
    <row r="24" customFormat="false" ht="42" hidden="false" customHeight="true" outlineLevel="0" collapsed="false">
      <c r="A24" s="9" t="s">
        <v>32</v>
      </c>
      <c r="B24" s="10" t="n">
        <v>14</v>
      </c>
      <c r="C24" s="11" t="n">
        <f aca="false">ROUND(B24*D24/100,1)</f>
        <v>4.2</v>
      </c>
      <c r="D24" s="12" t="n">
        <v>30</v>
      </c>
      <c r="E24" s="4" t="s">
        <v>19</v>
      </c>
      <c r="F24" s="9" t="s">
        <v>20</v>
      </c>
      <c r="G24" s="13" t="n">
        <v>6</v>
      </c>
      <c r="H24" s="4" t="s">
        <v>21</v>
      </c>
    </row>
  </sheetData>
  <mergeCells count="9">
    <mergeCell ref="A1:H1"/>
    <mergeCell ref="A2:H2"/>
    <mergeCell ref="B5:H5"/>
    <mergeCell ref="A6:A8"/>
    <mergeCell ref="B6:H6"/>
    <mergeCell ref="B7:D7"/>
    <mergeCell ref="E7:H7"/>
    <mergeCell ref="B8:H8"/>
    <mergeCell ref="G12:H12"/>
  </mergeCells>
  <printOptions headings="false" gridLines="false" gridLinesSet="true" horizontalCentered="false" verticalCentered="false"/>
  <pageMargins left="0.6" right="0.6" top="0.6" bottom="0.6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24"/>
    <col collapsed="false" customWidth="true" hidden="false" outlineLevel="0" max="7" min="7" style="0" width="11"/>
    <col collapsed="false" customWidth="true" hidden="false" outlineLevel="0" max="8" min="8" style="0" width="4"/>
  </cols>
  <sheetData>
    <row r="1" customFormat="false" ht="14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</row>
    <row r="5" customFormat="false" ht="19.5" hidden="false" customHeight="true" outlineLevel="0" collapsed="false">
      <c r="A5" s="4" t="s">
        <v>3</v>
      </c>
      <c r="B5" s="5" t="s">
        <v>4</v>
      </c>
      <c r="C5" s="5"/>
      <c r="D5" s="5"/>
      <c r="E5" s="5"/>
      <c r="F5" s="5"/>
      <c r="G5" s="5"/>
      <c r="H5" s="5"/>
    </row>
    <row r="6" customFormat="false" ht="19.5" hidden="false" customHeight="true" outlineLevel="0" collapsed="false">
      <c r="A6" s="4" t="s">
        <v>5</v>
      </c>
      <c r="B6" s="5" t="s">
        <v>6</v>
      </c>
      <c r="C6" s="5"/>
      <c r="D6" s="5"/>
      <c r="E6" s="5"/>
      <c r="F6" s="5"/>
      <c r="G6" s="5"/>
      <c r="H6" s="5"/>
    </row>
    <row r="7" customFormat="false" ht="19.5" hidden="false" customHeight="true" outlineLevel="0" collapsed="false">
      <c r="A7" s="4"/>
      <c r="B7" s="5" t="s">
        <v>7</v>
      </c>
      <c r="C7" s="5"/>
      <c r="D7" s="5"/>
      <c r="E7" s="5" t="s">
        <v>8</v>
      </c>
      <c r="F7" s="5"/>
      <c r="G7" s="5"/>
      <c r="H7" s="5"/>
    </row>
    <row r="8" customFormat="false" ht="19.5" hidden="false" customHeight="true" outlineLevel="0" collapsed="false">
      <c r="A8" s="4"/>
      <c r="B8" s="5" t="s">
        <v>9</v>
      </c>
      <c r="C8" s="5"/>
      <c r="D8" s="5"/>
      <c r="E8" s="5"/>
      <c r="F8" s="5"/>
      <c r="G8" s="5"/>
      <c r="H8" s="5"/>
    </row>
    <row r="9" customFormat="false" ht="7.5" hidden="false" customHeight="true" outlineLevel="0" collapsed="false">
      <c r="B9" s="6"/>
      <c r="C9" s="7"/>
      <c r="D9" s="7"/>
      <c r="E9" s="7"/>
      <c r="F9" s="7"/>
      <c r="G9" s="7"/>
      <c r="H9" s="7"/>
    </row>
    <row r="11" customFormat="false" ht="15" hidden="false" customHeight="false" outlineLevel="0" collapsed="false">
      <c r="A11" s="3" t="s">
        <v>10</v>
      </c>
    </row>
    <row r="12" customFormat="false" ht="31.5" hidden="false" customHeight="true" outlineLevel="0" collapsed="false">
      <c r="A12" s="8" t="s">
        <v>11</v>
      </c>
      <c r="B12" s="8" t="s">
        <v>12</v>
      </c>
      <c r="C12" s="8" t="s">
        <v>13</v>
      </c>
      <c r="D12" s="8" t="s">
        <v>14</v>
      </c>
      <c r="E12" s="8" t="s">
        <v>15</v>
      </c>
      <c r="F12" s="8" t="s">
        <v>16</v>
      </c>
      <c r="G12" s="8" t="s">
        <v>17</v>
      </c>
      <c r="H12" s="8"/>
    </row>
    <row r="13" customFormat="false" ht="42" hidden="false" customHeight="true" outlineLevel="0" collapsed="false">
      <c r="A13" s="9" t="s">
        <v>33</v>
      </c>
      <c r="B13" s="10" t="n">
        <v>7</v>
      </c>
      <c r="C13" s="11" t="n">
        <f aca="false">ROUND(B13*D13/100,1)</f>
        <v>2.1</v>
      </c>
      <c r="D13" s="12" t="n">
        <v>30</v>
      </c>
      <c r="E13" s="4" t="s">
        <v>19</v>
      </c>
      <c r="F13" s="9" t="s">
        <v>20</v>
      </c>
      <c r="G13" s="13" t="n">
        <v>3</v>
      </c>
      <c r="H13" s="4" t="s">
        <v>21</v>
      </c>
    </row>
    <row r="14" customFormat="false" ht="42" hidden="false" customHeight="true" outlineLevel="0" collapsed="false">
      <c r="A14" s="9" t="s">
        <v>34</v>
      </c>
      <c r="B14" s="10" t="n">
        <v>5</v>
      </c>
      <c r="C14" s="11" t="n">
        <f aca="false">ROUND(B14*D14/100,1)</f>
        <v>1.5</v>
      </c>
      <c r="D14" s="12" t="n">
        <v>30</v>
      </c>
      <c r="E14" s="4" t="s">
        <v>19</v>
      </c>
      <c r="F14" s="9" t="s">
        <v>20</v>
      </c>
      <c r="G14" s="13" t="n">
        <v>3</v>
      </c>
      <c r="H14" s="4" t="s">
        <v>21</v>
      </c>
    </row>
    <row r="15" customFormat="false" ht="42" hidden="false" customHeight="true" outlineLevel="0" collapsed="false">
      <c r="A15" s="9" t="s">
        <v>35</v>
      </c>
      <c r="B15" s="10" t="n">
        <v>10</v>
      </c>
      <c r="C15" s="11" t="n">
        <f aca="false">ROUND(B15*D15/100,1)</f>
        <v>3</v>
      </c>
      <c r="D15" s="12" t="n">
        <v>30</v>
      </c>
      <c r="E15" s="4" t="s">
        <v>19</v>
      </c>
      <c r="F15" s="9" t="s">
        <v>20</v>
      </c>
      <c r="G15" s="13" t="n">
        <v>6</v>
      </c>
      <c r="H15" s="4" t="s">
        <v>21</v>
      </c>
    </row>
    <row r="16" customFormat="false" ht="42" hidden="false" customHeight="true" outlineLevel="0" collapsed="false">
      <c r="A16" s="9" t="s">
        <v>36</v>
      </c>
      <c r="B16" s="10" t="n">
        <v>22</v>
      </c>
      <c r="C16" s="11" t="n">
        <f aca="false">ROUND(B16*D16/100,1)</f>
        <v>6.6</v>
      </c>
      <c r="D16" s="12" t="n">
        <v>30</v>
      </c>
      <c r="E16" s="4" t="s">
        <v>19</v>
      </c>
      <c r="F16" s="9" t="s">
        <v>20</v>
      </c>
      <c r="G16" s="13" t="n">
        <v>10</v>
      </c>
      <c r="H16" s="4" t="s">
        <v>21</v>
      </c>
    </row>
    <row r="17" customFormat="false" ht="42" hidden="false" customHeight="true" outlineLevel="0" collapsed="false">
      <c r="A17" s="9" t="s">
        <v>37</v>
      </c>
      <c r="B17" s="10" t="n">
        <v>6</v>
      </c>
      <c r="C17" s="11" t="n">
        <f aca="false">ROUND(B17*D17/100,1)</f>
        <v>1.8</v>
      </c>
      <c r="D17" s="12" t="n">
        <v>30</v>
      </c>
      <c r="E17" s="4" t="s">
        <v>19</v>
      </c>
      <c r="F17" s="9" t="s">
        <v>20</v>
      </c>
      <c r="G17" s="13" t="n">
        <v>2</v>
      </c>
      <c r="H17" s="4" t="s">
        <v>21</v>
      </c>
    </row>
    <row r="18" customFormat="false" ht="42" hidden="false" customHeight="true" outlineLevel="0" collapsed="false">
      <c r="A18" s="9" t="s">
        <v>38</v>
      </c>
      <c r="B18" s="10" t="n">
        <v>18</v>
      </c>
      <c r="C18" s="11" t="n">
        <f aca="false">ROUND(B18*D18/100,1)</f>
        <v>5.4</v>
      </c>
      <c r="D18" s="12" t="n">
        <v>30</v>
      </c>
      <c r="E18" s="4" t="s">
        <v>19</v>
      </c>
      <c r="F18" s="9" t="s">
        <v>20</v>
      </c>
      <c r="G18" s="13" t="n">
        <v>4</v>
      </c>
      <c r="H18" s="4" t="s">
        <v>21</v>
      </c>
    </row>
    <row r="19" customFormat="false" ht="42" hidden="false" customHeight="true" outlineLevel="0" collapsed="false">
      <c r="A19" s="9" t="s">
        <v>39</v>
      </c>
      <c r="B19" s="10" t="n">
        <v>24</v>
      </c>
      <c r="C19" s="11" t="n">
        <f aca="false">ROUND(B19*D19/100,1)</f>
        <v>7.2</v>
      </c>
      <c r="D19" s="12" t="n">
        <v>30</v>
      </c>
      <c r="E19" s="4" t="s">
        <v>19</v>
      </c>
      <c r="F19" s="9" t="s">
        <v>20</v>
      </c>
      <c r="G19" s="13" t="n">
        <v>6</v>
      </c>
      <c r="H19" s="4" t="s">
        <v>21</v>
      </c>
    </row>
    <row r="20" customFormat="false" ht="42" hidden="false" customHeight="true" outlineLevel="0" collapsed="false">
      <c r="A20" s="9" t="s">
        <v>40</v>
      </c>
      <c r="B20" s="10" t="n">
        <v>22</v>
      </c>
      <c r="C20" s="11" t="n">
        <f aca="false">ROUND(B20*D20/100,1)</f>
        <v>11</v>
      </c>
      <c r="D20" s="12" t="n">
        <v>50</v>
      </c>
      <c r="E20" s="4" t="s">
        <v>19</v>
      </c>
      <c r="F20" s="9" t="s">
        <v>20</v>
      </c>
      <c r="G20" s="13" t="n">
        <v>9</v>
      </c>
      <c r="H20" s="4" t="s">
        <v>21</v>
      </c>
    </row>
    <row r="21" customFormat="false" ht="42" hidden="false" customHeight="true" outlineLevel="0" collapsed="false">
      <c r="A21" s="9" t="s">
        <v>41</v>
      </c>
      <c r="B21" s="10" t="n">
        <v>16</v>
      </c>
      <c r="C21" s="11" t="n">
        <f aca="false">ROUND(B21*D21/100,1)</f>
        <v>11.2</v>
      </c>
      <c r="D21" s="12" t="n">
        <v>70</v>
      </c>
      <c r="E21" s="4" t="s">
        <v>19</v>
      </c>
      <c r="F21" s="9" t="s">
        <v>20</v>
      </c>
      <c r="G21" s="13" t="n">
        <v>3</v>
      </c>
      <c r="H21" s="4" t="s">
        <v>21</v>
      </c>
    </row>
    <row r="22" customFormat="false" ht="42" hidden="false" customHeight="true" outlineLevel="0" collapsed="false">
      <c r="A22" s="9" t="s">
        <v>42</v>
      </c>
      <c r="B22" s="10" t="n">
        <v>9</v>
      </c>
      <c r="C22" s="11" t="n">
        <f aca="false">ROUND(B22*D22/100,1)</f>
        <v>6.3</v>
      </c>
      <c r="D22" s="12" t="n">
        <v>70</v>
      </c>
      <c r="E22" s="4" t="s">
        <v>19</v>
      </c>
      <c r="F22" s="9" t="s">
        <v>20</v>
      </c>
      <c r="G22" s="13" t="n">
        <v>2</v>
      </c>
      <c r="H22" s="4" t="s">
        <v>21</v>
      </c>
    </row>
    <row r="23" customFormat="false" ht="42" hidden="false" customHeight="true" outlineLevel="0" collapsed="false">
      <c r="A23" s="9" t="s">
        <v>43</v>
      </c>
      <c r="B23" s="10" t="n">
        <v>10</v>
      </c>
      <c r="C23" s="11" t="n">
        <f aca="false">ROUND(B23*D23/100,1)</f>
        <v>7</v>
      </c>
      <c r="D23" s="12" t="n">
        <v>70</v>
      </c>
      <c r="E23" s="4" t="s">
        <v>19</v>
      </c>
      <c r="F23" s="9" t="s">
        <v>20</v>
      </c>
      <c r="G23" s="13" t="n">
        <v>2</v>
      </c>
      <c r="H23" s="4" t="s">
        <v>21</v>
      </c>
    </row>
    <row r="24" customFormat="false" ht="42" hidden="false" customHeight="true" outlineLevel="0" collapsed="false">
      <c r="A24" s="9" t="s">
        <v>44</v>
      </c>
      <c r="B24" s="10" t="n">
        <v>13</v>
      </c>
      <c r="C24" s="11" t="n">
        <f aca="false">ROUND(B24*D24/100,1)</f>
        <v>9.1</v>
      </c>
      <c r="D24" s="12" t="n">
        <v>70</v>
      </c>
      <c r="E24" s="4" t="s">
        <v>19</v>
      </c>
      <c r="F24" s="9" t="s">
        <v>20</v>
      </c>
      <c r="G24" s="13" t="n">
        <v>3</v>
      </c>
      <c r="H24" s="4" t="s">
        <v>21</v>
      </c>
    </row>
  </sheetData>
  <mergeCells count="9">
    <mergeCell ref="A1:H1"/>
    <mergeCell ref="A2:H2"/>
    <mergeCell ref="B5:H5"/>
    <mergeCell ref="A6:A8"/>
    <mergeCell ref="B6:H6"/>
    <mergeCell ref="B7:D7"/>
    <mergeCell ref="E7:H7"/>
    <mergeCell ref="B8:H8"/>
    <mergeCell ref="G12:H12"/>
  </mergeCells>
  <printOptions headings="false" gridLines="false" gridLinesSet="true" horizontalCentered="false" verticalCentered="false"/>
  <pageMargins left="0.6" right="0.6" top="0.6" bottom="0.6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24"/>
    <col collapsed="false" customWidth="true" hidden="false" outlineLevel="0" max="7" min="7" style="0" width="11"/>
    <col collapsed="false" customWidth="true" hidden="false" outlineLevel="0" max="8" min="8" style="0" width="4"/>
  </cols>
  <sheetData>
    <row r="1" customFormat="false" ht="14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</row>
    <row r="5" customFormat="false" ht="19.5" hidden="false" customHeight="true" outlineLevel="0" collapsed="false">
      <c r="A5" s="4" t="s">
        <v>3</v>
      </c>
      <c r="B5" s="5" t="s">
        <v>4</v>
      </c>
      <c r="C5" s="5"/>
      <c r="D5" s="5"/>
      <c r="E5" s="5"/>
      <c r="F5" s="5"/>
      <c r="G5" s="5"/>
      <c r="H5" s="5"/>
    </row>
    <row r="6" customFormat="false" ht="19.5" hidden="false" customHeight="true" outlineLevel="0" collapsed="false">
      <c r="A6" s="4" t="s">
        <v>5</v>
      </c>
      <c r="B6" s="5" t="s">
        <v>6</v>
      </c>
      <c r="C6" s="5"/>
      <c r="D6" s="5"/>
      <c r="E6" s="5"/>
      <c r="F6" s="5"/>
      <c r="G6" s="5"/>
      <c r="H6" s="5"/>
    </row>
    <row r="7" customFormat="false" ht="19.5" hidden="false" customHeight="true" outlineLevel="0" collapsed="false">
      <c r="A7" s="4"/>
      <c r="B7" s="5" t="s">
        <v>7</v>
      </c>
      <c r="C7" s="5"/>
      <c r="D7" s="5"/>
      <c r="E7" s="5" t="s">
        <v>8</v>
      </c>
      <c r="F7" s="5"/>
      <c r="G7" s="5"/>
      <c r="H7" s="5"/>
    </row>
    <row r="8" customFormat="false" ht="19.5" hidden="false" customHeight="true" outlineLevel="0" collapsed="false">
      <c r="A8" s="4"/>
      <c r="B8" s="5" t="s">
        <v>9</v>
      </c>
      <c r="C8" s="5"/>
      <c r="D8" s="5"/>
      <c r="E8" s="5"/>
      <c r="F8" s="5"/>
      <c r="G8" s="5"/>
      <c r="H8" s="5"/>
    </row>
    <row r="9" customFormat="false" ht="7.5" hidden="false" customHeight="true" outlineLevel="0" collapsed="false">
      <c r="B9" s="6"/>
      <c r="C9" s="7"/>
      <c r="D9" s="7"/>
      <c r="E9" s="7"/>
      <c r="F9" s="7"/>
      <c r="G9" s="7"/>
      <c r="H9" s="7"/>
    </row>
    <row r="11" customFormat="false" ht="15" hidden="false" customHeight="false" outlineLevel="0" collapsed="false">
      <c r="A11" s="3" t="s">
        <v>10</v>
      </c>
    </row>
    <row r="12" customFormat="false" ht="31.5" hidden="false" customHeight="true" outlineLevel="0" collapsed="false">
      <c r="A12" s="8" t="s">
        <v>11</v>
      </c>
      <c r="B12" s="8" t="s">
        <v>12</v>
      </c>
      <c r="C12" s="8" t="s">
        <v>13</v>
      </c>
      <c r="D12" s="8" t="s">
        <v>14</v>
      </c>
      <c r="E12" s="8" t="s">
        <v>15</v>
      </c>
      <c r="F12" s="8" t="s">
        <v>16</v>
      </c>
      <c r="G12" s="8" t="s">
        <v>17</v>
      </c>
      <c r="H12" s="8"/>
    </row>
    <row r="13" customFormat="false" ht="42" hidden="false" customHeight="true" outlineLevel="0" collapsed="false">
      <c r="A13" s="9" t="s">
        <v>45</v>
      </c>
      <c r="B13" s="10" t="n">
        <v>21</v>
      </c>
      <c r="C13" s="11" t="n">
        <f aca="false">ROUND(B13*D13/100,1)</f>
        <v>6.3</v>
      </c>
      <c r="D13" s="12" t="n">
        <v>30</v>
      </c>
      <c r="E13" s="4" t="s">
        <v>19</v>
      </c>
      <c r="F13" s="9" t="s">
        <v>20</v>
      </c>
      <c r="G13" s="13" t="n">
        <v>5</v>
      </c>
      <c r="H13" s="4" t="s">
        <v>21</v>
      </c>
    </row>
    <row r="14" customFormat="false" ht="42" hidden="false" customHeight="true" outlineLevel="0" collapsed="false">
      <c r="A14" s="9" t="s">
        <v>46</v>
      </c>
      <c r="B14" s="10" t="n">
        <v>71</v>
      </c>
      <c r="C14" s="11" t="n">
        <f aca="false">ROUND(B14*D14/100,1)</f>
        <v>21.3</v>
      </c>
      <c r="D14" s="12" t="n">
        <v>30</v>
      </c>
      <c r="E14" s="4" t="s">
        <v>19</v>
      </c>
      <c r="F14" s="9" t="s">
        <v>20</v>
      </c>
      <c r="G14" s="13" t="n">
        <v>29</v>
      </c>
      <c r="H14" s="4" t="s">
        <v>21</v>
      </c>
    </row>
    <row r="15" customFormat="false" ht="42" hidden="false" customHeight="true" outlineLevel="0" collapsed="false">
      <c r="A15" s="9" t="s">
        <v>47</v>
      </c>
      <c r="B15" s="10" t="n">
        <v>28</v>
      </c>
      <c r="C15" s="11" t="n">
        <f aca="false">ROUND(B15*D15/100,1)</f>
        <v>8.4</v>
      </c>
      <c r="D15" s="12" t="n">
        <v>30</v>
      </c>
      <c r="E15" s="4" t="s">
        <v>48</v>
      </c>
      <c r="F15" s="9" t="s">
        <v>20</v>
      </c>
      <c r="G15" s="13" t="n">
        <v>5</v>
      </c>
      <c r="H15" s="4" t="s">
        <v>21</v>
      </c>
    </row>
    <row r="16" customFormat="false" ht="42" hidden="false" customHeight="true" outlineLevel="0" collapsed="false">
      <c r="A16" s="9" t="s">
        <v>49</v>
      </c>
      <c r="B16" s="10" t="n">
        <v>9</v>
      </c>
      <c r="C16" s="11" t="n">
        <f aca="false">ROUND(B16*D16/100,1)</f>
        <v>2.7</v>
      </c>
      <c r="D16" s="12" t="n">
        <v>30</v>
      </c>
      <c r="E16" s="4" t="s">
        <v>48</v>
      </c>
      <c r="F16" s="9" t="s">
        <v>20</v>
      </c>
      <c r="G16" s="13" t="n">
        <v>2</v>
      </c>
      <c r="H16" s="4" t="s">
        <v>21</v>
      </c>
    </row>
    <row r="17" customFormat="false" ht="42" hidden="false" customHeight="true" outlineLevel="0" collapsed="false">
      <c r="A17" s="9" t="s">
        <v>50</v>
      </c>
      <c r="B17" s="10" t="n">
        <v>4</v>
      </c>
      <c r="C17" s="11" t="n">
        <f aca="false">ROUND(B17*D17/100,1)</f>
        <v>1.2</v>
      </c>
      <c r="D17" s="12" t="n">
        <v>30</v>
      </c>
      <c r="E17" s="4" t="s">
        <v>48</v>
      </c>
      <c r="F17" s="9" t="s">
        <v>20</v>
      </c>
      <c r="G17" s="13" t="n">
        <v>1</v>
      </c>
      <c r="H17" s="4" t="s">
        <v>21</v>
      </c>
    </row>
    <row r="18" customFormat="false" ht="42" hidden="false" customHeight="true" outlineLevel="0" collapsed="false">
      <c r="A18" s="9" t="s">
        <v>51</v>
      </c>
      <c r="B18" s="10" t="n">
        <v>1</v>
      </c>
      <c r="C18" s="11" t="n">
        <f aca="false">ROUND(B18*D18/100,1)</f>
        <v>0.3</v>
      </c>
      <c r="D18" s="12" t="n">
        <v>30</v>
      </c>
      <c r="E18" s="4" t="s">
        <v>48</v>
      </c>
      <c r="F18" s="9" t="s">
        <v>20</v>
      </c>
      <c r="G18" s="13" t="n">
        <v>1</v>
      </c>
      <c r="H18" s="4" t="s">
        <v>21</v>
      </c>
    </row>
    <row r="19" customFormat="false" ht="42" hidden="false" customHeight="true" outlineLevel="0" collapsed="false">
      <c r="A19" s="9" t="s">
        <v>52</v>
      </c>
      <c r="B19" s="10" t="n">
        <v>27</v>
      </c>
      <c r="C19" s="11" t="n">
        <f aca="false">ROUND(B19*D19/100,1)</f>
        <v>8.1</v>
      </c>
      <c r="D19" s="12" t="n">
        <v>30</v>
      </c>
      <c r="E19" s="4" t="s">
        <v>48</v>
      </c>
      <c r="F19" s="9" t="s">
        <v>20</v>
      </c>
      <c r="G19" s="13" t="n">
        <v>5</v>
      </c>
      <c r="H19" s="4" t="s">
        <v>21</v>
      </c>
    </row>
    <row r="20" customFormat="false" ht="42" hidden="false" customHeight="true" outlineLevel="0" collapsed="false">
      <c r="A20" s="9" t="s">
        <v>53</v>
      </c>
      <c r="B20" s="10" t="n">
        <v>10</v>
      </c>
      <c r="C20" s="11" t="n">
        <f aca="false">ROUND(B20*D20/100,1)</f>
        <v>3</v>
      </c>
      <c r="D20" s="12" t="n">
        <v>30</v>
      </c>
      <c r="E20" s="4" t="s">
        <v>48</v>
      </c>
      <c r="F20" s="9" t="s">
        <v>20</v>
      </c>
      <c r="G20" s="13" t="n">
        <v>2</v>
      </c>
      <c r="H20" s="4" t="s">
        <v>21</v>
      </c>
    </row>
    <row r="21" customFormat="false" ht="42" hidden="false" customHeight="true" outlineLevel="0" collapsed="false">
      <c r="A21" s="9"/>
      <c r="B21" s="10"/>
      <c r="C21" s="11"/>
      <c r="D21" s="12"/>
      <c r="E21" s="4"/>
      <c r="F21" s="9"/>
      <c r="G21" s="13"/>
      <c r="H21" s="4" t="s">
        <v>21</v>
      </c>
    </row>
    <row r="22" customFormat="false" ht="42" hidden="false" customHeight="true" outlineLevel="0" collapsed="false">
      <c r="A22" s="9"/>
      <c r="B22" s="10"/>
      <c r="C22" s="11"/>
      <c r="D22" s="12"/>
      <c r="E22" s="4"/>
      <c r="F22" s="9"/>
      <c r="G22" s="13"/>
      <c r="H22" s="4" t="s">
        <v>21</v>
      </c>
    </row>
    <row r="23" customFormat="false" ht="42" hidden="false" customHeight="true" outlineLevel="0" collapsed="false">
      <c r="A23" s="9"/>
      <c r="B23" s="10"/>
      <c r="C23" s="11"/>
      <c r="D23" s="12"/>
      <c r="E23" s="4"/>
      <c r="F23" s="9"/>
      <c r="G23" s="13"/>
      <c r="H23" s="4" t="s">
        <v>21</v>
      </c>
    </row>
    <row r="24" customFormat="false" ht="42" hidden="false" customHeight="true" outlineLevel="0" collapsed="false">
      <c r="A24" s="9"/>
      <c r="B24" s="10"/>
      <c r="C24" s="11"/>
      <c r="D24" s="12"/>
      <c r="E24" s="4"/>
      <c r="F24" s="9"/>
      <c r="G24" s="13"/>
      <c r="H24" s="4" t="s">
        <v>21</v>
      </c>
    </row>
  </sheetData>
  <mergeCells count="9">
    <mergeCell ref="A1:H1"/>
    <mergeCell ref="A2:H2"/>
    <mergeCell ref="B5:H5"/>
    <mergeCell ref="A6:A8"/>
    <mergeCell ref="B6:H6"/>
    <mergeCell ref="B7:D7"/>
    <mergeCell ref="E7:H7"/>
    <mergeCell ref="B8:H8"/>
    <mergeCell ref="G12:H12"/>
  </mergeCells>
  <printOptions headings="false" gridLines="false" gridLinesSet="true" horizontalCentered="false" verticalCentered="false"/>
  <pageMargins left="0.6" right="0.6" top="0.6" bottom="0.6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14"/>
  </cols>
  <sheetData>
    <row r="1" customFormat="false" ht="26.85" hidden="false" customHeight="false" outlineLevel="0" collapsed="false">
      <c r="A1" s="14" t="s">
        <v>54</v>
      </c>
      <c r="B1" s="14" t="s">
        <v>11</v>
      </c>
      <c r="C1" s="14" t="s">
        <v>55</v>
      </c>
      <c r="D1" s="14" t="s">
        <v>56</v>
      </c>
      <c r="E1" s="14" t="s">
        <v>57</v>
      </c>
      <c r="F1" s="14" t="s">
        <v>15</v>
      </c>
      <c r="G1" s="14" t="s">
        <v>16</v>
      </c>
      <c r="H1" s="14" t="s">
        <v>58</v>
      </c>
    </row>
    <row r="2" customFormat="false" ht="15" hidden="false" customHeight="false" outlineLevel="0" collapsed="false">
      <c r="A2" s="4" t="n">
        <v>1</v>
      </c>
      <c r="B2" s="5" t="str">
        <f aca="false">1枚目!A13</f>
        <v>境町山崎前新田 1996</v>
      </c>
      <c r="C2" s="10" t="n">
        <f aca="false">1枚目!B13</f>
        <v>45</v>
      </c>
      <c r="D2" s="11" t="n">
        <f aca="false">1枚目!C13</f>
        <v>22.5</v>
      </c>
      <c r="E2" s="12" t="n">
        <f aca="false">1枚目!D13</f>
        <v>50</v>
      </c>
      <c r="F2" s="4" t="str">
        <f aca="false">1枚目!E13</f>
        <v>キャベツ</v>
      </c>
      <c r="G2" s="5" t="str">
        <f aca="false">1枚目!F13</f>
        <v>①樹草勢回復肥料購入</v>
      </c>
      <c r="H2" s="13" t="n">
        <f aca="false">1枚目!G13</f>
        <v>9</v>
      </c>
    </row>
    <row r="3" customFormat="false" ht="15" hidden="false" customHeight="false" outlineLevel="0" collapsed="false">
      <c r="A3" s="4" t="n">
        <v>1</v>
      </c>
      <c r="B3" s="5" t="str">
        <f aca="false">1枚目!A14</f>
        <v>境町内門下新田 福原 883-1</v>
      </c>
      <c r="C3" s="10" t="n">
        <f aca="false">1枚目!B14</f>
        <v>8</v>
      </c>
      <c r="D3" s="11" t="n">
        <f aca="false">1枚目!C14</f>
        <v>5.6</v>
      </c>
      <c r="E3" s="12" t="n">
        <f aca="false">1枚目!D14</f>
        <v>70</v>
      </c>
      <c r="F3" s="4" t="str">
        <f aca="false">1枚目!E14</f>
        <v>キャベツ</v>
      </c>
      <c r="G3" s="5" t="str">
        <f aca="false">1枚目!F14</f>
        <v>①樹草勢回復肥料購入</v>
      </c>
      <c r="H3" s="13" t="n">
        <f aca="false">1枚目!G14</f>
        <v>2</v>
      </c>
    </row>
    <row r="4" customFormat="false" ht="15" hidden="false" customHeight="false" outlineLevel="0" collapsed="false">
      <c r="A4" s="4" t="n">
        <v>1</v>
      </c>
      <c r="B4" s="5" t="str">
        <f aca="false">1枚目!A15</f>
        <v>〃 882</v>
      </c>
      <c r="C4" s="10" t="n">
        <f aca="false">1枚目!B15</f>
        <v>13</v>
      </c>
      <c r="D4" s="11" t="n">
        <f aca="false">1枚目!C15</f>
        <v>9.1</v>
      </c>
      <c r="E4" s="12" t="n">
        <f aca="false">1枚目!D15</f>
        <v>70</v>
      </c>
      <c r="F4" s="4" t="str">
        <f aca="false">1枚目!E15</f>
        <v>キャベツ</v>
      </c>
      <c r="G4" s="5" t="str">
        <f aca="false">1枚目!F15</f>
        <v>①樹草勢回復肥料購入</v>
      </c>
      <c r="H4" s="13" t="n">
        <f aca="false">1枚目!G15</f>
        <v>2</v>
      </c>
    </row>
    <row r="5" customFormat="false" ht="15" hidden="false" customHeight="false" outlineLevel="0" collapsed="false">
      <c r="A5" s="4" t="n">
        <v>1</v>
      </c>
      <c r="B5" s="5" t="str">
        <f aca="false">1枚目!A16</f>
        <v>境町内門下新田 898-1</v>
      </c>
      <c r="C5" s="10" t="n">
        <f aca="false">1枚目!B16</f>
        <v>20</v>
      </c>
      <c r="D5" s="11" t="n">
        <f aca="false">1枚目!C16</f>
        <v>4</v>
      </c>
      <c r="E5" s="12" t="n">
        <f aca="false">1枚目!D16</f>
        <v>20</v>
      </c>
      <c r="F5" s="4" t="str">
        <f aca="false">1枚目!E16</f>
        <v>キャベツ</v>
      </c>
      <c r="G5" s="5" t="str">
        <f aca="false">1枚目!F16</f>
        <v>①樹草勢回復肥料購入</v>
      </c>
      <c r="H5" s="13" t="n">
        <f aca="false">1枚目!G16</f>
        <v>4</v>
      </c>
    </row>
    <row r="6" customFormat="false" ht="15" hidden="false" customHeight="false" outlineLevel="0" collapsed="false">
      <c r="A6" s="4" t="n">
        <v>1</v>
      </c>
      <c r="B6" s="5" t="str">
        <f aca="false">1枚目!A17</f>
        <v>境町香取山東 1008-1</v>
      </c>
      <c r="C6" s="10" t="n">
        <f aca="false">1枚目!B17</f>
        <v>10</v>
      </c>
      <c r="D6" s="11" t="n">
        <f aca="false">1枚目!C17</f>
        <v>1</v>
      </c>
      <c r="E6" s="12" t="n">
        <f aca="false">1枚目!D17</f>
        <v>10</v>
      </c>
      <c r="F6" s="4" t="str">
        <f aca="false">1枚目!E17</f>
        <v>キャベツ</v>
      </c>
      <c r="G6" s="5" t="str">
        <f aca="false">1枚目!F17</f>
        <v>①樹草勢回復肥料購入</v>
      </c>
      <c r="H6" s="13" t="n">
        <f aca="false">1枚目!G17</f>
        <v>2</v>
      </c>
    </row>
    <row r="7" customFormat="false" ht="15" hidden="false" customHeight="false" outlineLevel="0" collapsed="false">
      <c r="A7" s="4" t="n">
        <v>1</v>
      </c>
      <c r="B7" s="5" t="str">
        <f aca="false">1枚目!A18</f>
        <v>〃 992-1</v>
      </c>
      <c r="C7" s="10" t="n">
        <f aca="false">1枚目!B18</f>
        <v>33</v>
      </c>
      <c r="D7" s="11" t="n">
        <f aca="false">1枚目!C18</f>
        <v>3.3</v>
      </c>
      <c r="E7" s="12" t="n">
        <f aca="false">1枚目!D18</f>
        <v>10</v>
      </c>
      <c r="F7" s="4" t="str">
        <f aca="false">1枚目!E18</f>
        <v>キャベツ</v>
      </c>
      <c r="G7" s="5" t="str">
        <f aca="false">1枚目!F18</f>
        <v>①樹草勢回復肥料購入</v>
      </c>
      <c r="H7" s="13" t="n">
        <f aca="false">1枚目!G18</f>
        <v>6</v>
      </c>
    </row>
    <row r="8" customFormat="false" ht="15" hidden="false" customHeight="false" outlineLevel="0" collapsed="false">
      <c r="A8" s="4" t="n">
        <v>1</v>
      </c>
      <c r="B8" s="5" t="str">
        <f aca="false">1枚目!A19</f>
        <v>境町大歩宮東 1861</v>
      </c>
      <c r="C8" s="10" t="n">
        <f aca="false">1枚目!B19</f>
        <v>48</v>
      </c>
      <c r="D8" s="11" t="n">
        <f aca="false">1枚目!C19</f>
        <v>24</v>
      </c>
      <c r="E8" s="12" t="n">
        <f aca="false">1枚目!D19</f>
        <v>50</v>
      </c>
      <c r="F8" s="4" t="str">
        <f aca="false">1枚目!E19</f>
        <v>キャベツ</v>
      </c>
      <c r="G8" s="5" t="str">
        <f aca="false">1枚目!F19</f>
        <v>①樹草勢回復肥料購入</v>
      </c>
      <c r="H8" s="13" t="n">
        <f aca="false">1枚目!G19</f>
        <v>11</v>
      </c>
    </row>
    <row r="9" customFormat="false" ht="15" hidden="false" customHeight="false" outlineLevel="0" collapsed="false">
      <c r="A9" s="4" t="n">
        <v>1</v>
      </c>
      <c r="B9" s="5" t="str">
        <f aca="false">1枚目!A20</f>
        <v>境町大歩新橋 1925-1, 2301</v>
      </c>
      <c r="C9" s="10" t="n">
        <f aca="false">1枚目!B20</f>
        <v>30</v>
      </c>
      <c r="D9" s="11" t="n">
        <f aca="false">1枚目!C20</f>
        <v>9</v>
      </c>
      <c r="E9" s="12" t="n">
        <f aca="false">1枚目!D20</f>
        <v>30</v>
      </c>
      <c r="F9" s="4" t="str">
        <f aca="false">1枚目!E20</f>
        <v>キャベツ</v>
      </c>
      <c r="G9" s="5" t="str">
        <f aca="false">1枚目!F20</f>
        <v>①樹草勢回復肥料購入</v>
      </c>
      <c r="H9" s="13" t="n">
        <f aca="false">1枚目!G20</f>
        <v>10</v>
      </c>
    </row>
    <row r="10" customFormat="false" ht="15" hidden="false" customHeight="false" outlineLevel="0" collapsed="false">
      <c r="A10" s="4" t="n">
        <v>1</v>
      </c>
      <c r="B10" s="5" t="str">
        <f aca="false">1枚目!A21</f>
        <v>境町大歩新橋 1924-1</v>
      </c>
      <c r="C10" s="10" t="n">
        <f aca="false">1枚目!B21</f>
        <v>15</v>
      </c>
      <c r="D10" s="11" t="n">
        <f aca="false">1枚目!C21</f>
        <v>7.5</v>
      </c>
      <c r="E10" s="12" t="n">
        <f aca="false">1枚目!D21</f>
        <v>50</v>
      </c>
      <c r="F10" s="4" t="str">
        <f aca="false">1枚目!E21</f>
        <v>キャベツ</v>
      </c>
      <c r="G10" s="5" t="str">
        <f aca="false">1枚目!F21</f>
        <v>①樹草勢回復肥料購入</v>
      </c>
      <c r="H10" s="13" t="n">
        <f aca="false">1枚目!G21</f>
        <v>3</v>
      </c>
    </row>
    <row r="11" customFormat="false" ht="15" hidden="false" customHeight="false" outlineLevel="0" collapsed="false">
      <c r="A11" s="4" t="n">
        <v>1</v>
      </c>
      <c r="B11" s="5" t="str">
        <f aca="false">1枚目!A22</f>
        <v>〃 1926-1</v>
      </c>
      <c r="C11" s="10" t="n">
        <f aca="false">1枚目!B22</f>
        <v>11</v>
      </c>
      <c r="D11" s="11" t="n">
        <f aca="false">1枚目!C22</f>
        <v>5.5</v>
      </c>
      <c r="E11" s="12" t="n">
        <f aca="false">1枚目!D22</f>
        <v>50</v>
      </c>
      <c r="F11" s="4" t="str">
        <f aca="false">1枚目!E22</f>
        <v>キャベツ</v>
      </c>
      <c r="G11" s="5" t="str">
        <f aca="false">1枚目!F22</f>
        <v>①樹草勢回復肥料購入</v>
      </c>
      <c r="H11" s="13" t="n">
        <f aca="false">1枚目!G22</f>
        <v>2</v>
      </c>
    </row>
    <row r="12" customFormat="false" ht="15" hidden="false" customHeight="false" outlineLevel="0" collapsed="false">
      <c r="A12" s="4" t="n">
        <v>1</v>
      </c>
      <c r="B12" s="5" t="str">
        <f aca="false">1枚目!A23</f>
        <v>境町大歩 1932-1, 1836-1</v>
      </c>
      <c r="C12" s="10" t="n">
        <f aca="false">1枚目!B23</f>
        <v>24</v>
      </c>
      <c r="D12" s="11" t="n">
        <f aca="false">1枚目!C23</f>
        <v>12</v>
      </c>
      <c r="E12" s="12" t="n">
        <f aca="false">1枚目!D23</f>
        <v>50</v>
      </c>
      <c r="F12" s="4" t="str">
        <f aca="false">1枚目!E23</f>
        <v>キャベツ</v>
      </c>
      <c r="G12" s="5" t="str">
        <f aca="false">1枚目!F23</f>
        <v>①樹草勢回復肥料購入</v>
      </c>
      <c r="H12" s="13" t="n">
        <f aca="false">1枚目!G23</f>
        <v>5</v>
      </c>
    </row>
    <row r="13" customFormat="false" ht="15" hidden="false" customHeight="false" outlineLevel="0" collapsed="false">
      <c r="A13" s="4" t="n">
        <v>1</v>
      </c>
      <c r="B13" s="5" t="str">
        <f aca="false">1枚目!A24</f>
        <v>境町大歩 重田台 1991-1</v>
      </c>
      <c r="C13" s="10" t="n">
        <f aca="false">1枚目!B24</f>
        <v>14</v>
      </c>
      <c r="D13" s="11" t="n">
        <f aca="false">1枚目!C24</f>
        <v>4.2</v>
      </c>
      <c r="E13" s="12" t="n">
        <f aca="false">1枚目!D24</f>
        <v>30</v>
      </c>
      <c r="F13" s="4" t="str">
        <f aca="false">1枚目!E24</f>
        <v>キャベツ</v>
      </c>
      <c r="G13" s="5" t="str">
        <f aca="false">1枚目!F24</f>
        <v>①樹草勢回復肥料購入</v>
      </c>
      <c r="H13" s="13" t="n">
        <f aca="false">1枚目!G24</f>
        <v>6</v>
      </c>
    </row>
    <row r="14" customFormat="false" ht="15" hidden="false" customHeight="false" outlineLevel="0" collapsed="false">
      <c r="A14" s="4" t="n">
        <v>2</v>
      </c>
      <c r="B14" s="5" t="str">
        <f aca="false">2枚目!A13</f>
        <v>境町大歩 重田台 2006-1</v>
      </c>
      <c r="C14" s="10" t="n">
        <f aca="false">2枚目!B13</f>
        <v>7</v>
      </c>
      <c r="D14" s="11" t="n">
        <f aca="false">2枚目!C13</f>
        <v>2.1</v>
      </c>
      <c r="E14" s="12" t="n">
        <f aca="false">2枚目!D13</f>
        <v>30</v>
      </c>
      <c r="F14" s="4" t="str">
        <f aca="false">2枚目!E13</f>
        <v>キャベツ</v>
      </c>
      <c r="G14" s="5" t="str">
        <f aca="false">2枚目!F13</f>
        <v>①樹草勢回復肥料購入</v>
      </c>
      <c r="H14" s="13" t="n">
        <f aca="false">2枚目!G13</f>
        <v>3</v>
      </c>
    </row>
    <row r="15" customFormat="false" ht="15" hidden="false" customHeight="false" outlineLevel="0" collapsed="false">
      <c r="A15" s="4" t="n">
        <v>2</v>
      </c>
      <c r="B15" s="5" t="str">
        <f aca="false">2枚目!A14</f>
        <v>〃 2006-7</v>
      </c>
      <c r="C15" s="10" t="n">
        <f aca="false">2枚目!B14</f>
        <v>5</v>
      </c>
      <c r="D15" s="11" t="n">
        <f aca="false">2枚目!C14</f>
        <v>1.5</v>
      </c>
      <c r="E15" s="12" t="n">
        <f aca="false">2枚目!D14</f>
        <v>30</v>
      </c>
      <c r="F15" s="4" t="str">
        <f aca="false">2枚目!E14</f>
        <v>キャベツ</v>
      </c>
      <c r="G15" s="5" t="str">
        <f aca="false">2枚目!F14</f>
        <v>①樹草勢回復肥料購入</v>
      </c>
      <c r="H15" s="13" t="n">
        <f aca="false">2枚目!G14</f>
        <v>3</v>
      </c>
    </row>
    <row r="16" customFormat="false" ht="15" hidden="false" customHeight="false" outlineLevel="0" collapsed="false">
      <c r="A16" s="4" t="n">
        <v>2</v>
      </c>
      <c r="B16" s="5" t="str">
        <f aca="false">2枚目!A15</f>
        <v>〃 2008-1</v>
      </c>
      <c r="C16" s="10" t="n">
        <f aca="false">2枚目!B15</f>
        <v>10</v>
      </c>
      <c r="D16" s="11" t="n">
        <f aca="false">2枚目!C15</f>
        <v>3</v>
      </c>
      <c r="E16" s="12" t="n">
        <f aca="false">2枚目!D15</f>
        <v>30</v>
      </c>
      <c r="F16" s="4" t="str">
        <f aca="false">2枚目!E15</f>
        <v>キャベツ</v>
      </c>
      <c r="G16" s="5" t="str">
        <f aca="false">2枚目!F15</f>
        <v>①樹草勢回復肥料購入</v>
      </c>
      <c r="H16" s="13" t="n">
        <f aca="false">2枚目!G15</f>
        <v>6</v>
      </c>
    </row>
    <row r="17" customFormat="false" ht="15" hidden="false" customHeight="false" outlineLevel="0" collapsed="false">
      <c r="A17" s="4" t="n">
        <v>2</v>
      </c>
      <c r="B17" s="5" t="str">
        <f aca="false">2枚目!A16</f>
        <v>〃 2008-2</v>
      </c>
      <c r="C17" s="10" t="n">
        <f aca="false">2枚目!B16</f>
        <v>22</v>
      </c>
      <c r="D17" s="11" t="n">
        <f aca="false">2枚目!C16</f>
        <v>6.6</v>
      </c>
      <c r="E17" s="12" t="n">
        <f aca="false">2枚目!D16</f>
        <v>30</v>
      </c>
      <c r="F17" s="4" t="str">
        <f aca="false">2枚目!E16</f>
        <v>キャベツ</v>
      </c>
      <c r="G17" s="5" t="str">
        <f aca="false">2枚目!F16</f>
        <v>①樹草勢回復肥料購入</v>
      </c>
      <c r="H17" s="13" t="n">
        <f aca="false">2枚目!G16</f>
        <v>10</v>
      </c>
    </row>
    <row r="18" customFormat="false" ht="15" hidden="false" customHeight="false" outlineLevel="0" collapsed="false">
      <c r="A18" s="4" t="n">
        <v>2</v>
      </c>
      <c r="B18" s="5" t="str">
        <f aca="false">2枚目!A17</f>
        <v>〃 2004-1</v>
      </c>
      <c r="C18" s="10" t="n">
        <f aca="false">2枚目!B17</f>
        <v>6</v>
      </c>
      <c r="D18" s="11" t="n">
        <f aca="false">2枚目!C17</f>
        <v>1.8</v>
      </c>
      <c r="E18" s="12" t="n">
        <f aca="false">2枚目!D17</f>
        <v>30</v>
      </c>
      <c r="F18" s="4" t="str">
        <f aca="false">2枚目!E17</f>
        <v>キャベツ</v>
      </c>
      <c r="G18" s="5" t="str">
        <f aca="false">2枚目!F17</f>
        <v>①樹草勢回復肥料購入</v>
      </c>
      <c r="H18" s="13" t="n">
        <f aca="false">2枚目!G17</f>
        <v>2</v>
      </c>
    </row>
    <row r="19" customFormat="false" ht="15" hidden="false" customHeight="false" outlineLevel="0" collapsed="false">
      <c r="A19" s="4" t="n">
        <v>2</v>
      </c>
      <c r="B19" s="5" t="str">
        <f aca="false">2枚目!A18</f>
        <v>〃 2003-1</v>
      </c>
      <c r="C19" s="10" t="n">
        <f aca="false">2枚目!B18</f>
        <v>18</v>
      </c>
      <c r="D19" s="11" t="n">
        <f aca="false">2枚目!C18</f>
        <v>5.4</v>
      </c>
      <c r="E19" s="12" t="n">
        <f aca="false">2枚目!D18</f>
        <v>30</v>
      </c>
      <c r="F19" s="4" t="str">
        <f aca="false">2枚目!E18</f>
        <v>キャベツ</v>
      </c>
      <c r="G19" s="5" t="str">
        <f aca="false">2枚目!F18</f>
        <v>①樹草勢回復肥料購入</v>
      </c>
      <c r="H19" s="13" t="n">
        <f aca="false">2枚目!G18</f>
        <v>4</v>
      </c>
    </row>
    <row r="20" customFormat="false" ht="15" hidden="false" customHeight="false" outlineLevel="0" collapsed="false">
      <c r="A20" s="4" t="n">
        <v>2</v>
      </c>
      <c r="B20" s="5" t="str">
        <f aca="false">2枚目!A19</f>
        <v>〃 2002-1</v>
      </c>
      <c r="C20" s="10" t="n">
        <f aca="false">2枚目!B19</f>
        <v>24</v>
      </c>
      <c r="D20" s="11" t="n">
        <f aca="false">2枚目!C19</f>
        <v>7.2</v>
      </c>
      <c r="E20" s="12" t="n">
        <f aca="false">2枚目!D19</f>
        <v>30</v>
      </c>
      <c r="F20" s="4" t="str">
        <f aca="false">2枚目!E19</f>
        <v>キャベツ</v>
      </c>
      <c r="G20" s="5" t="str">
        <f aca="false">2枚目!F19</f>
        <v>①樹草勢回復肥料購入</v>
      </c>
      <c r="H20" s="13" t="n">
        <f aca="false">2枚目!G19</f>
        <v>6</v>
      </c>
    </row>
    <row r="21" customFormat="false" ht="15" hidden="false" customHeight="false" outlineLevel="0" collapsed="false">
      <c r="A21" s="4" t="n">
        <v>2</v>
      </c>
      <c r="B21" s="5" t="str">
        <f aca="false">2枚目!A20</f>
        <v>〃 1994</v>
      </c>
      <c r="C21" s="10" t="n">
        <f aca="false">2枚目!B20</f>
        <v>22</v>
      </c>
      <c r="D21" s="11" t="n">
        <f aca="false">2枚目!C20</f>
        <v>11</v>
      </c>
      <c r="E21" s="12" t="n">
        <f aca="false">2枚目!D20</f>
        <v>50</v>
      </c>
      <c r="F21" s="4" t="str">
        <f aca="false">2枚目!E20</f>
        <v>キャベツ</v>
      </c>
      <c r="G21" s="5" t="str">
        <f aca="false">2枚目!F20</f>
        <v>①樹草勢回復肥料購入</v>
      </c>
      <c r="H21" s="13" t="n">
        <f aca="false">2枚目!G20</f>
        <v>9</v>
      </c>
    </row>
    <row r="22" customFormat="false" ht="15" hidden="false" customHeight="false" outlineLevel="0" collapsed="false">
      <c r="A22" s="4" t="n">
        <v>2</v>
      </c>
      <c r="B22" s="5" t="str">
        <f aca="false">2枚目!A21</f>
        <v>〃 1989-1</v>
      </c>
      <c r="C22" s="10" t="n">
        <f aca="false">2枚目!B21</f>
        <v>16</v>
      </c>
      <c r="D22" s="11" t="n">
        <f aca="false">2枚目!C21</f>
        <v>11.2</v>
      </c>
      <c r="E22" s="12" t="n">
        <f aca="false">2枚目!D21</f>
        <v>70</v>
      </c>
      <c r="F22" s="4" t="str">
        <f aca="false">2枚目!E21</f>
        <v>キャベツ</v>
      </c>
      <c r="G22" s="5" t="str">
        <f aca="false">2枚目!F21</f>
        <v>①樹草勢回復肥料購入</v>
      </c>
      <c r="H22" s="13" t="n">
        <f aca="false">2枚目!G21</f>
        <v>3</v>
      </c>
    </row>
    <row r="23" customFormat="false" ht="15" hidden="false" customHeight="false" outlineLevel="0" collapsed="false">
      <c r="A23" s="4" t="n">
        <v>2</v>
      </c>
      <c r="B23" s="5" t="str">
        <f aca="false">2枚目!A22</f>
        <v>〃 1988</v>
      </c>
      <c r="C23" s="10" t="n">
        <f aca="false">2枚目!B22</f>
        <v>9</v>
      </c>
      <c r="D23" s="11" t="n">
        <f aca="false">2枚目!C22</f>
        <v>6.3</v>
      </c>
      <c r="E23" s="12" t="n">
        <f aca="false">2枚目!D22</f>
        <v>70</v>
      </c>
      <c r="F23" s="4" t="str">
        <f aca="false">2枚目!E22</f>
        <v>キャベツ</v>
      </c>
      <c r="G23" s="5" t="str">
        <f aca="false">2枚目!F22</f>
        <v>①樹草勢回復肥料購入</v>
      </c>
      <c r="H23" s="13" t="n">
        <f aca="false">2枚目!G22</f>
        <v>2</v>
      </c>
    </row>
    <row r="24" customFormat="false" ht="15" hidden="false" customHeight="false" outlineLevel="0" collapsed="false">
      <c r="A24" s="4" t="n">
        <v>2</v>
      </c>
      <c r="B24" s="5" t="str">
        <f aca="false">2枚目!A23</f>
        <v>〃 1989</v>
      </c>
      <c r="C24" s="10" t="n">
        <f aca="false">2枚目!B23</f>
        <v>10</v>
      </c>
      <c r="D24" s="11" t="n">
        <f aca="false">2枚目!C23</f>
        <v>7</v>
      </c>
      <c r="E24" s="12" t="n">
        <f aca="false">2枚目!D23</f>
        <v>70</v>
      </c>
      <c r="F24" s="4" t="str">
        <f aca="false">2枚目!E23</f>
        <v>キャベツ</v>
      </c>
      <c r="G24" s="5" t="str">
        <f aca="false">2枚目!F23</f>
        <v>①樹草勢回復肥料購入</v>
      </c>
      <c r="H24" s="13" t="n">
        <f aca="false">2枚目!G23</f>
        <v>2</v>
      </c>
    </row>
    <row r="25" customFormat="false" ht="15" hidden="false" customHeight="false" outlineLevel="0" collapsed="false">
      <c r="A25" s="4" t="n">
        <v>2</v>
      </c>
      <c r="B25" s="5" t="str">
        <f aca="false">2枚目!A24</f>
        <v>〃 1986</v>
      </c>
      <c r="C25" s="10" t="n">
        <f aca="false">2枚目!B24</f>
        <v>13</v>
      </c>
      <c r="D25" s="11" t="n">
        <f aca="false">2枚目!C24</f>
        <v>9.1</v>
      </c>
      <c r="E25" s="12" t="n">
        <f aca="false">2枚目!D24</f>
        <v>70</v>
      </c>
      <c r="F25" s="4" t="str">
        <f aca="false">2枚目!E24</f>
        <v>キャベツ</v>
      </c>
      <c r="G25" s="5" t="str">
        <f aca="false">2枚目!F24</f>
        <v>①樹草勢回復肥料購入</v>
      </c>
      <c r="H25" s="13" t="n">
        <f aca="false">2枚目!G24</f>
        <v>3</v>
      </c>
    </row>
    <row r="26" customFormat="false" ht="15" hidden="false" customHeight="false" outlineLevel="0" collapsed="false">
      <c r="A26" s="4" t="n">
        <v>3</v>
      </c>
      <c r="B26" s="5" t="str">
        <f aca="false">3枚目!A13</f>
        <v>境町大歩 高水道南 437-2</v>
      </c>
      <c r="C26" s="10" t="n">
        <f aca="false">3枚目!B13</f>
        <v>21</v>
      </c>
      <c r="D26" s="11" t="n">
        <f aca="false">3枚目!C13</f>
        <v>6.3</v>
      </c>
      <c r="E26" s="12" t="n">
        <f aca="false">3枚目!D13</f>
        <v>30</v>
      </c>
      <c r="F26" s="4" t="str">
        <f aca="false">3枚目!E13</f>
        <v>キャベツ</v>
      </c>
      <c r="G26" s="5" t="str">
        <f aca="false">3枚目!F13</f>
        <v>①樹草勢回復肥料購入</v>
      </c>
      <c r="H26" s="13" t="n">
        <f aca="false">3枚目!G13</f>
        <v>5</v>
      </c>
    </row>
    <row r="27" customFormat="false" ht="15" hidden="false" customHeight="false" outlineLevel="0" collapsed="false">
      <c r="A27" s="4" t="n">
        <v>3</v>
      </c>
      <c r="B27" s="5" t="str">
        <f aca="false">3枚目!A14</f>
        <v>〃 437-3</v>
      </c>
      <c r="C27" s="10" t="n">
        <f aca="false">3枚目!B14</f>
        <v>71</v>
      </c>
      <c r="D27" s="11" t="n">
        <f aca="false">3枚目!C14</f>
        <v>21.3</v>
      </c>
      <c r="E27" s="12" t="n">
        <f aca="false">3枚目!D14</f>
        <v>30</v>
      </c>
      <c r="F27" s="4" t="str">
        <f aca="false">3枚目!E14</f>
        <v>キャベツ</v>
      </c>
      <c r="G27" s="5" t="str">
        <f aca="false">3枚目!F14</f>
        <v>①樹草勢回復肥料購入</v>
      </c>
      <c r="H27" s="13" t="n">
        <f aca="false">3枚目!G14</f>
        <v>29</v>
      </c>
    </row>
    <row r="28" customFormat="false" ht="15" hidden="false" customHeight="false" outlineLevel="0" collapsed="false">
      <c r="A28" s="4" t="n">
        <v>3</v>
      </c>
      <c r="B28" s="5" t="str">
        <f aca="false">3枚目!A15</f>
        <v>〃 432-1</v>
      </c>
      <c r="C28" s="10" t="n">
        <f aca="false">3枚目!B15</f>
        <v>28</v>
      </c>
      <c r="D28" s="11" t="n">
        <f aca="false">3枚目!C15</f>
        <v>8.4</v>
      </c>
      <c r="E28" s="12" t="n">
        <f aca="false">3枚目!D15</f>
        <v>30</v>
      </c>
      <c r="F28" s="4" t="str">
        <f aca="false">3枚目!E15</f>
        <v>白菜</v>
      </c>
      <c r="G28" s="5" t="str">
        <f aca="false">3枚目!F15</f>
        <v>①樹草勢回復肥料購入</v>
      </c>
      <c r="H28" s="13" t="n">
        <f aca="false">3枚目!G15</f>
        <v>5</v>
      </c>
    </row>
    <row r="29" customFormat="false" ht="15" hidden="false" customHeight="false" outlineLevel="0" collapsed="false">
      <c r="A29" s="4" t="n">
        <v>3</v>
      </c>
      <c r="B29" s="5" t="str">
        <f aca="false">3枚目!A16</f>
        <v>〃 432-2</v>
      </c>
      <c r="C29" s="10" t="n">
        <f aca="false">3枚目!B16</f>
        <v>9</v>
      </c>
      <c r="D29" s="11" t="n">
        <f aca="false">3枚目!C16</f>
        <v>2.7</v>
      </c>
      <c r="E29" s="12" t="n">
        <f aca="false">3枚目!D16</f>
        <v>30</v>
      </c>
      <c r="F29" s="4" t="str">
        <f aca="false">3枚目!E16</f>
        <v>白菜</v>
      </c>
      <c r="G29" s="5" t="str">
        <f aca="false">3枚目!F16</f>
        <v>①樹草勢回復肥料購入</v>
      </c>
      <c r="H29" s="13" t="n">
        <f aca="false">3枚目!G16</f>
        <v>2</v>
      </c>
    </row>
    <row r="30" customFormat="false" ht="15" hidden="false" customHeight="false" outlineLevel="0" collapsed="false">
      <c r="A30" s="4" t="n">
        <v>3</v>
      </c>
      <c r="B30" s="5" t="str">
        <f aca="false">3枚目!A17</f>
        <v>〃 432-3</v>
      </c>
      <c r="C30" s="10" t="n">
        <f aca="false">3枚目!B17</f>
        <v>4</v>
      </c>
      <c r="D30" s="11" t="n">
        <f aca="false">3枚目!C17</f>
        <v>1.2</v>
      </c>
      <c r="E30" s="12" t="n">
        <f aca="false">3枚目!D17</f>
        <v>30</v>
      </c>
      <c r="F30" s="4" t="str">
        <f aca="false">3枚目!E17</f>
        <v>白菜</v>
      </c>
      <c r="G30" s="5" t="str">
        <f aca="false">3枚目!F17</f>
        <v>①樹草勢回復肥料購入</v>
      </c>
      <c r="H30" s="13" t="n">
        <f aca="false">3枚目!G17</f>
        <v>1</v>
      </c>
    </row>
    <row r="31" customFormat="false" ht="15" hidden="false" customHeight="false" outlineLevel="0" collapsed="false">
      <c r="A31" s="4" t="n">
        <v>3</v>
      </c>
      <c r="B31" s="5" t="str">
        <f aca="false">3枚目!A18</f>
        <v>〃 431</v>
      </c>
      <c r="C31" s="10" t="n">
        <f aca="false">3枚目!B18</f>
        <v>1</v>
      </c>
      <c r="D31" s="11" t="n">
        <f aca="false">3枚目!C18</f>
        <v>0.3</v>
      </c>
      <c r="E31" s="12" t="n">
        <f aca="false">3枚目!D18</f>
        <v>30</v>
      </c>
      <c r="F31" s="4" t="str">
        <f aca="false">3枚目!E18</f>
        <v>白菜</v>
      </c>
      <c r="G31" s="5" t="str">
        <f aca="false">3枚目!F18</f>
        <v>①樹草勢回復肥料購入</v>
      </c>
      <c r="H31" s="13" t="n">
        <f aca="false">3枚目!G18</f>
        <v>1</v>
      </c>
    </row>
    <row r="32" customFormat="false" ht="15" hidden="false" customHeight="false" outlineLevel="0" collapsed="false">
      <c r="A32" s="4" t="n">
        <v>3</v>
      </c>
      <c r="B32" s="5" t="str">
        <f aca="false">3枚目!A19</f>
        <v>〃 427-1</v>
      </c>
      <c r="C32" s="10" t="n">
        <f aca="false">3枚目!B19</f>
        <v>27</v>
      </c>
      <c r="D32" s="11" t="n">
        <f aca="false">3枚目!C19</f>
        <v>8.1</v>
      </c>
      <c r="E32" s="12" t="n">
        <f aca="false">3枚目!D19</f>
        <v>30</v>
      </c>
      <c r="F32" s="4" t="str">
        <f aca="false">3枚目!E19</f>
        <v>白菜</v>
      </c>
      <c r="G32" s="5" t="str">
        <f aca="false">3枚目!F19</f>
        <v>①樹草勢回復肥料購入</v>
      </c>
      <c r="H32" s="13" t="n">
        <f aca="false">3枚目!G19</f>
        <v>5</v>
      </c>
    </row>
    <row r="33" customFormat="false" ht="15" hidden="false" customHeight="false" outlineLevel="0" collapsed="false">
      <c r="A33" s="4" t="n">
        <v>3</v>
      </c>
      <c r="B33" s="5" t="str">
        <f aca="false">3枚目!A20</f>
        <v>境町大歩新橋 1911-1</v>
      </c>
      <c r="C33" s="10" t="n">
        <f aca="false">3枚目!B20</f>
        <v>10</v>
      </c>
      <c r="D33" s="11" t="n">
        <f aca="false">3枚目!C20</f>
        <v>3</v>
      </c>
      <c r="E33" s="12" t="n">
        <f aca="false">3枚目!D20</f>
        <v>30</v>
      </c>
      <c r="F33" s="4" t="str">
        <f aca="false">3枚目!E20</f>
        <v>白菜</v>
      </c>
      <c r="G33" s="5" t="str">
        <f aca="false">3枚目!F20</f>
        <v>①樹草勢回復肥料購入</v>
      </c>
      <c r="H33" s="13" t="n">
        <f aca="false">3枚目!G20</f>
        <v>2</v>
      </c>
    </row>
    <row r="34" customFormat="false" ht="15" hidden="false" customHeight="false" outlineLevel="0" collapsed="false">
      <c r="A34" s="4"/>
      <c r="B34" s="5" t="s">
        <v>59</v>
      </c>
      <c r="C34" s="4" t="n">
        <f aca="false">SUM(C2:C33)</f>
        <v>604</v>
      </c>
      <c r="D34" s="11" t="n">
        <f aca="false">SUM(D2:D33)</f>
        <v>231.2</v>
      </c>
      <c r="E34" s="4"/>
      <c r="F34" s="4"/>
      <c r="G34" s="5"/>
      <c r="H34" s="4" t="n">
        <f aca="false">SUM(H2:H33)</f>
        <v>165</v>
      </c>
    </row>
    <row r="36" customFormat="false" ht="15" hidden="false" customHeight="false" outlineLevel="0" collapsed="false">
      <c r="B36" s="15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2026-10-19T22:40:58Z</dcterms:created>
  <dc:creator>openpyxl</dc:creator>
  <dc:description/>
  <dc:language>en-US</dc:language>
  <cp:lastModifiedBy/>
  <dcterms:modified xsi:type="dcterms:W3CDTF">2026-10-19T22:40:58Z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